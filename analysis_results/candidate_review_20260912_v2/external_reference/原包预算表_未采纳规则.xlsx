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bf9928c3b746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预算与说明" sheetId="1" r:id="Ra1499159a81041b5"/>
    <x:sheet xmlns:r="http://schemas.openxmlformats.org/officeDocument/2006/relationships" name="逐图候选审查" sheetId="2" r:id="R19b7efa252e44278"/>
    <x:sheet xmlns:r="http://schemas.openxmlformats.org/officeDocument/2006/relationships" name="候选组理由" sheetId="3" r:id="Rf6e80921a65b4aef"/>
    <x:sheet xmlns:r="http://schemas.openxmlformats.org/officeDocument/2006/relationships" name="全图库复核" sheetId="4" r:id="R17c5d34ce6764851"/>
    <x:sheet xmlns:r="http://schemas.openxmlformats.org/officeDocument/2006/relationships" name="元标签核验" sheetId="5" r:id="R7a1e9e3d16894fbb"/>
    <x:sheet xmlns:r="http://schemas.openxmlformats.org/officeDocument/2006/relationships" name="来源与边界" sheetId="6" r:id="R00174807a7ff45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54A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54A"/>
      </x:patternFill>
    </x:fill>
    <x:fill>
      <x:patternFill patternType="solid">
        <x:fgColor rgb="FFE8F3FA"/>
      </x:patternFill>
    </x:fill>
    <x:fill>
      <x:patternFill patternType="solid">
        <x:fgColor rgb="FFDDEBEF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</x:cellXfs>
  <x:cellStyles count="1">
    <x:cellStyle name="Normal" xfId="0"/>
  </x:cellStyles>
  <x:dxfs count="2">
    <x:dxf>
      <x:fill>
        <x:patternFill patternType="solid">
          <x:bgColor rgb="FFFDE7DF"/>
        </x:patternFill>
      </x:fill>
    </x:dxf>
    <x:dxf>
      <x:fill>
        <x:patternFill patternType="solid">
          <x:bgColor rgb="FFFFF1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4c3a9d0e964e50" /><Relationship Type="http://schemas.openxmlformats.org/officeDocument/2006/relationships/theme" Target="/xl/theme/theme1.xml" Id="R1e83fd8a2f98464e" /><Relationship Type="http://schemas.openxmlformats.org/officeDocument/2006/relationships/sharedStrings" Target="/xl/sharedStrings.xml" Id="R1b576b46ee0440dd" /><Relationship Type="http://schemas.openxmlformats.org/officeDocument/2006/relationships/worksheet" Target="/xl/worksheets/sheet1.xml" Id="Ra1499159a81041b5" /><Relationship Type="http://schemas.openxmlformats.org/officeDocument/2006/relationships/worksheet" Target="/xl/worksheets/sheet2.xml" Id="R19b7efa252e44278" /><Relationship Type="http://schemas.openxmlformats.org/officeDocument/2006/relationships/worksheet" Target="/xl/worksheets/sheet3.xml" Id="Rf6e80921a65b4aef" /><Relationship Type="http://schemas.openxmlformats.org/officeDocument/2006/relationships/worksheet" Target="/xl/worksheets/sheet4.xml" Id="R17c5d34ce6764851" /><Relationship Type="http://schemas.openxmlformats.org/officeDocument/2006/relationships/worksheet" Target="/xl/worksheets/sheet5.xml" Id="R7a1e9e3d16894fbb" /><Relationship Type="http://schemas.openxmlformats.org/officeDocument/2006/relationships/worksheet" Target="/xl/worksheets/sheet6.xml" Id="R00174807a7ff4587" /></Relationships>
</file>

<file path=xl/tables/table1.xml><?xml version="1.0" encoding="utf-8"?>
<x:table xmlns:x="http://schemas.openxmlformats.org/spreadsheetml/2006/main" id="1" name="CandidateReview" displayName="CandidateReview" ref="A4:W116" headerRowCount="1" totalsRowCount="0" totalsRowShown="0">
  <x:tableColumns count="23">
    <x:tableColumn id="1" name="组号"/>
    <x:tableColumn id="2" name="Building"/>
    <x:tableColumn id="3" name="图号"/>
    <x:tableColumn id="4" name="你的审查决定"/>
    <x:tableColumn id="5" name="简单与否"/>
    <x:tableColumn id="6" name="目标总人数"/>
    <x:tableColumn id="7" name="人数口径"/>
    <x:tableColumn id="8" name="全部历史M"/>
    <x:tableColumn id="9" name="当前19人M"/>
    <x:tableColumn id="10" name="可新标人数"/>
    <x:tableColumn id="11" name="Semi人数"/>
    <x:tableColumn id="12" name="新增缺口"/>
    <x:tableColumn id="13" name="计入预算"/>
    <x:tableColumn id="14" name="清洁容量"/>
    <x:tableColumn id="15" name="低人数提示"/>
    <x:tableColumn id="16" name="v2采用粗类"/>
    <x:tableColumn id="17" name="粗类来源"/>
    <x:tableColumn id="18" name="候选角色"/>
    <x:tableColumn id="19" name="选择理由"/>
    <x:tableColumn id="20" name="原表信息差异"/>
    <x:tableColumn id="21" name="待审问题"/>
    <x:tableColumn id="22" name="原图URL"/>
    <x:tableColumn id="23" name="完整image_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roupReview" displayName="GroupReview" ref="A4:N26" headerRowCount="1" totalsRowCount="0" totalsRowShown="0">
  <x:tableColumns count="14">
    <x:tableColumn id="1" name="组号"/>
    <x:tableColumn id="2" name="Building"/>
    <x:tableColumn id="3" name="候选作用"/>
    <x:tableColumn id="4" name="图数"/>
    <x:tableColumn id="5" name="全部图号"/>
    <x:tableColumn id="6" name="已高标/可复用来源"/>
    <x:tableColumn id="7" name="优先审查目标"/>
    <x:tableColumn id="8" name="替代或特殊视点"/>
    <x:tableColumn id="9" name="原审核状态"/>
    <x:tableColumn id="10" name="为什么审"/>
    <x:tableColumn id="11" name="待审问题"/>
    <x:tableColumn id="12" name="原用户评论"/>
    <x:tableColumn id="13" name="当前19人同房Semi接触"/>
    <x:tableColumn id="14" name="当前粗类汇总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ullInventory" displayName="FullInventory" ref="A4:M652" headerRowCount="1" totalsRowCount="0" totalsRowShown="0">
  <x:tableColumns count="13">
    <x:tableColumn id="1" name="Building"/>
    <x:tableColumn id="2" name="图号"/>
    <x:tableColumn id="3" name="v2采用粗类"/>
    <x:tableColumn id="4" name="采用来源"/>
    <x:tableColumn id="5" name="旧粗类原文"/>
    <x:tableColumn id="6" name="AI建议非真值"/>
    <x:tableColumn id="7" name="历史M"/>
    <x:tableColumn id="8" name="当前19人M"/>
    <x:tableColumn id="9" name="Semi"/>
    <x:tableColumn id="10" name="可新标人数"/>
    <x:tableColumn id="11" name="关联组"/>
    <x:tableColumn id="12" name="仓库文件URL"/>
    <x:tableColumn id="13" name="完整image_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etaAudit" displayName="MetaAudit" ref="A4:H64" headerRowCount="1" totalsRowCount="0" totalsRowShown="0">
  <x:tableColumns count="8">
    <x:tableColumn id="1" name="统计人群"/>
    <x:tableColumn id="2" name="原字段"/>
    <x:tableColumn id="3" name="原始选项"/>
    <x:tableColumn id="4" name="该人群记录数"/>
    <x:tableColumn id="5" name="字段非空记录数"/>
    <x:tableColumn id="6" name="选项出现数"/>
    <x:tableColumn id="7" name="占全部记录"/>
    <x:tableColumn id="8" name="占非空记录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ovenance" displayName="Provenance" ref="A4:C18" headerRowCount="1" totalsRowCount="0" totalsRowShown="0">
  <x:tableColumns count="3">
    <x:tableColumn id="1" name="条目"/>
    <x:tableColumn id="2" name="值"/>
    <x:tableColumn id="3" name="依据/解释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b28d1928bbe44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dcf607000f84d3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d28fa77e66c4da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9f8598996ff47c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8e2144c8e1844ec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5" hidden="0" customWidth="1"/>
    <x:col min="3" max="3" width="15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3" t="str">
        <x:v>首批候选预算｜19名现有参与者，每人约20张</x:v>
      </x:c>
      <x:c r="B1" s="3"/>
      <x:c r="C1" s="3"/>
      <x:c r="D1" s="3"/>
      <x:c r="E1" s="3"/>
      <x:c r="F1" s="3"/>
      <x:c r="G1" s="3"/>
      <x:c r="H1" s="3"/>
    </x:row>
    <x:row r="3" ht="27" customHeight="1">
      <x:c r="A3" s="18" t="str">
        <x:v>当前参与者数</x:v>
      </x:c>
      <x:c r="B3" s="18" t="n">
        <x:v>19</x:v>
      </x:c>
      <x:c r="D3" t="str">
        <x:v>审查前不锁定任何图片或人员任务</x:v>
      </x:c>
    </x:row>
    <x:row r="4" ht="34" customHeight="1">
      <x:c r="A4" t="str">
        <x:v>人均新增预算</x:v>
      </x:c>
      <x:c r="B4" t="n">
        <x:v>20</x:v>
      </x:c>
      <x:c r="D4" s="8" t="str">
        <x:v>先查看“候选组理由”与HTML原图审查台；选图后再编辑逐图表蓝色列。</x:v>
      </x:c>
      <x:c r="E4" s="8"/>
      <x:c r="F4" s="8"/>
      <x:c r="G4" s="8"/>
      <x:c r="H4" s="8"/>
    </x:row>
    <x:row r="5" ht="34" customHeight="1">
      <x:c r="A5" s="21" t="str">
        <x:v>总新增预算</x:v>
      </x:c>
      <x:c r="B5" s="21" t="n">
        <x:f>B3*B4</x:f>
        <x:v>380</x:v>
      </x:c>
      <x:c r="D5" s="8" t="str">
        <x:v>默认人数15用于缺口预览，不表示图片已纳入。</x:v>
      </x:c>
      <x:c r="E5" s="8"/>
      <x:c r="F5" s="8"/>
      <x:c r="G5" s="8"/>
      <x:c r="H5" s="8"/>
    </x:row>
    <x:row r="6" ht="34" customHeight="1">
      <x:c r="A6" t="str">
        <x:v>候选图片数</x:v>
      </x:c>
      <x:c r="B6" t="n">
        <x:v>112</x:v>
      </x:c>
      <x:c r="D6" s="8" t="str">
        <x:v>来源复用：不重复已有高人数图；特殊对照/OOS与普通几何分析分开。</x:v>
      </x:c>
      <x:c r="E6" s="8"/>
      <x:c r="F6" s="8"/>
      <x:c r="G6" s="8"/>
      <x:c r="H6" s="8"/>
    </x:row>
    <x:row r="7" ht="34" customHeight="1">
      <x:c r="A7" t="str">
        <x:v>已选新增量</x:v>
      </x:c>
      <x:c r="B7" t="n">
        <x:f>SUM('逐图候选审查'!M5:M116)</x:f>
        <x:v>0</x:v>
      </x:c>
      <x:c r="D7" s="8" t="str">
        <x:v>实际派发还需逐人匹配：不能把同图重复标注当新独立票。</x:v>
      </x:c>
      <x:c r="E7" s="8"/>
      <x:c r="F7" s="8"/>
      <x:c r="G7" s="8"/>
      <x:c r="H7" s="8"/>
    </x:row>
    <x:row r="8" ht="34" customHeight="1">
      <x:c r="A8" t="str">
        <x:v>已选人均新增</x:v>
      </x:c>
      <x:c r="B8" s="16" t="n">
        <x:f>B7/B3</x:f>
        <x:v>0</x:v>
      </x:c>
      <x:c r="D8" s="8" t="str">
        <x:v>自愿额外milestone单列，不能把19名旧人反复标同图算成更多人。</x:v>
      </x:c>
      <x:c r="E8" s="8"/>
      <x:c r="F8" s="8"/>
      <x:c r="G8" s="8"/>
      <x:c r="H8" s="8"/>
    </x:row>
    <x:row r="9" ht="34" customHeight="1">
      <x:c r="A9" t="str">
        <x:v>剩余预算</x:v>
      </x:c>
      <x:c r="B9" t="n">
        <x:f>B5-B7</x:f>
        <x:v>380</x:v>
      </x:c>
      <x:c r="D9" s="8" t="str">
        <x:v>HTML支持联网原图/选择本地图片文件夹。工作簿不嵌入原图。</x:v>
      </x:c>
      <x:c r="E9" s="8"/>
      <x:c r="F9" s="8"/>
      <x:c r="G9" s="8"/>
      <x:c r="H9" s="8"/>
    </x:row>
    <x:row r="10" ht="27" customHeight="1">
      <x:c r="A10" t="str">
        <x:v>状态</x:v>
      </x:c>
      <x:c r="B10" t="str">
        <x:v>未选图；不生成派发</x:v>
      </x:c>
    </x:row>
    <x:row r="13" ht="30" customHeight="1">
      <x:c r="A13" s="4" t="str">
        <x:v>纯算术模板（未扣历史）</x:v>
      </x:c>
      <x:c r="B13" s="4" t="str">
        <x:v>图片数</x:v>
      </x:c>
      <x:c r="C13" s="4" t="str">
        <x:v>每图人数</x:v>
      </x:c>
      <x:c r="D13" s="4" t="str">
        <x:v>人图</x:v>
      </x:c>
    </x:row>
    <x:row r="14">
      <x:c r="A14" t="str">
        <x:v>共同观察图</x:v>
      </x:c>
      <x:c r="B14" t="n">
        <x:v>8</x:v>
      </x:c>
      <x:c r="C14" t="n">
        <x:v>19</x:v>
      </x:c>
      <x:c r="D14" t="n">
        <x:f>B14*C14</x:f>
        <x:v>152</x:v>
      </x:c>
    </x:row>
    <x:row r="15">
      <x:c r="A15" t="str">
        <x:v>其余非简单图</x:v>
      </x:c>
      <x:c r="B15" t="n">
        <x:v>12</x:v>
      </x:c>
      <x:c r="C15" t="n">
        <x:v>15</x:v>
      </x:c>
      <x:c r="D15" t="n">
        <x:f>B15*C15</x:f>
        <x:v>180</x:v>
      </x:c>
    </x:row>
    <x:row r="16">
      <x:c r="A16" t="str">
        <x:v>审查确认简单图</x:v>
      </x:c>
      <x:c r="B16" t="n">
        <x:v>6</x:v>
      </x:c>
      <x:c r="C16" t="n">
        <x:v>8</x:v>
      </x:c>
      <x:c r="D16" t="n">
        <x:f>B16*C16</x:f>
        <x:v>48</x:v>
      </x:c>
    </x:row>
    <x:row r="17">
      <x:c r="A17" t="str">
        <x:v>合计</x:v>
      </x:c>
      <x:c r="B17" t="n">
        <x:f>SUM(B14:B16)</x:f>
        <x:v>26</x:v>
      </x:c>
      <x:c r="C17"/>
      <x:c r="D17" t="n">
        <x:f>SUM(D14:D16)</x:f>
        <x:v>380</x:v>
      </x:c>
    </x:row>
    <x:row r="19">
      <x:c r="A19" t="str">
        <x:v>下面只复核上一版20图的预算敏感性，不表示沿用这些图。</x:v>
      </x:c>
    </x:row>
    <x:row r="20" ht="30" customHeight="1">
      <x:c r="A20" s="4" t="str">
        <x:v>旧图数</x:v>
      </x:c>
      <x:c r="B20" s="4" t="str">
        <x:v>目标人数</x:v>
      </x:c>
      <x:c r="C20" s="4" t="str">
        <x:v>人数口径</x:v>
      </x:c>
      <x:c r="D20" s="4" t="str">
        <x:v>可抵扣历史</x:v>
      </x:c>
      <x:c r="E20" s="4" t="str">
        <x:v>新增需求</x:v>
      </x:c>
      <x:c r="F20" s="4" t="str">
        <x:v>人均新增</x:v>
      </x:c>
    </x:row>
    <x:row r="21">
      <x:c r="A21" t="n">
        <x:v>20</x:v>
      </x:c>
      <x:c r="B21" t="n">
        <x:v>15</x:v>
      </x:c>
      <x:c r="C21" t="str">
        <x:v>全部历史</x:v>
      </x:c>
      <x:c r="D21" t="n">
        <x:v>18</x:v>
      </x:c>
      <x:c r="E21" t="n">
        <x:f>A21*B21-D21</x:f>
        <x:v>282</x:v>
      </x:c>
      <x:c r="F21" s="16" t="n">
        <x:f>E21/$B$3</x:f>
        <x:v>14.842105263157896</x:v>
      </x:c>
    </x:row>
    <x:row r="22">
      <x:c r="A22" t="n">
        <x:v>20</x:v>
      </x:c>
      <x:c r="B22" t="n">
        <x:v>15</x:v>
      </x:c>
      <x:c r="C22" t="str">
        <x:v>当前19人</x:v>
      </x:c>
      <x:c r="D22" t="n">
        <x:v>16</x:v>
      </x:c>
      <x:c r="E22" t="n">
        <x:f>A22*B22-D22</x:f>
        <x:v>284</x:v>
      </x:c>
      <x:c r="F22" s="16" t="n">
        <x:f>E22/$B$3</x:f>
        <x:v>14.947368421052632</x:v>
      </x:c>
    </x:row>
    <x:row r="23">
      <x:c r="A23" t="n">
        <x:v>20</x:v>
      </x:c>
      <x:c r="B23" t="n">
        <x:v>19</x:v>
      </x:c>
      <x:c r="C23" t="str">
        <x:v>全部历史</x:v>
      </x:c>
      <x:c r="D23" t="n">
        <x:v>18</x:v>
      </x:c>
      <x:c r="E23" t="n">
        <x:f>A23*B23-D23</x:f>
        <x:v>362</x:v>
      </x:c>
      <x:c r="F23" s="16" t="n">
        <x:f>E23/$B$3</x:f>
        <x:v>19.05263157894737</x:v>
      </x:c>
    </x:row>
    <x:row r="24">
      <x:c r="A24" t="n">
        <x:v>20</x:v>
      </x:c>
      <x:c r="B24" t="n">
        <x:v>19</x:v>
      </x:c>
      <x:c r="C24" t="str">
        <x:v>当前19人</x:v>
      </x:c>
      <x:c r="D24" t="n">
        <x:v>16</x:v>
      </x:c>
      <x:c r="E24" t="n">
        <x:f>A24*B24-D24</x:f>
        <x:v>364</x:v>
      </x:c>
      <x:c r="F24" s="16" t="n">
        <x:f>E24/$B$3</x:f>
        <x:v>19.157894736842106</x:v>
      </x:c>
    </x:row>
  </x:sheetData>
  <x:mergeCells>
    <x:mergeCell ref="A1:H1"/>
    <x:mergeCell ref="D3:H3"/>
    <x:mergeCell ref="D4:H4"/>
    <x:mergeCell ref="D5:H5"/>
    <x:mergeCell ref="D6:H6"/>
    <x:mergeCell ref="D7:H7"/>
    <x:mergeCell ref="D8:H8"/>
    <x:mergeCell ref="D9:H9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7" hidden="0" customWidth="1"/>
    <x:col min="4" max="4" width="16" hidden="0" customWidth="1"/>
    <x:col min="5" max="5" width="16" hidden="0" customWidth="1"/>
    <x:col min="6" max="6" width="10" hidden="0" customWidth="1"/>
    <x:col min="7" max="7" width="13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8" hidden="0" customWidth="1"/>
    <x:col min="17" max="17" width="30" hidden="0" customWidth="1"/>
    <x:col min="18" max="18" width="28" hidden="0" customWidth="1"/>
    <x:col min="19" max="19" width="40" hidden="0" customWidth="1"/>
    <x:col min="20" max="20" width="38" hidden="0" customWidth="1"/>
    <x:col min="21" max="21" width="40" hidden="0" customWidth="1"/>
    <x:col min="22" max="22" width="36" hidden="0" customWidth="1"/>
    <x:col min="23" max="23" width="38" hidden="0" customWidth="1"/>
  </x:cols>
  <x:sheetData>
    <x:row r="1" ht="28" customHeight="1">
      <x:c r="A1" s="10" t="str">
        <x:v>逐图候选审查｜全部待审，不是派发表</x:v>
      </x:c>
    </x:row>
    <x:row r="2" ht="24" customHeight="1">
      <x:c r="A2" t="str">
        <x:v>蓝色列可编辑。目标15仅为预算默认值；只有选“候选纳入/特殊对照”才计入预算。全历史M与当前19人M不同。</x:v>
      </x:c>
    </x:row>
    <x:row r="4" ht="34" customHeight="1">
      <x:c r="A4" s="4" t="str">
        <x:v>组号</x:v>
      </x:c>
      <x:c r="B4" s="4" t="str">
        <x:v>Building</x:v>
      </x:c>
      <x:c r="C4" s="4" t="str">
        <x:v>图号</x:v>
      </x:c>
      <x:c r="D4" s="4" t="str">
        <x:v>你的审查决定</x:v>
      </x:c>
      <x:c r="E4" s="4" t="str">
        <x:v>简单与否</x:v>
      </x:c>
      <x:c r="F4" s="4" t="str">
        <x:v>目标总人数</x:v>
      </x:c>
      <x:c r="G4" s="4" t="str">
        <x:v>人数口径</x:v>
      </x:c>
      <x:c r="H4" s="4" t="str">
        <x:v>全部历史M</x:v>
      </x:c>
      <x:c r="I4" s="4" t="str">
        <x:v>当前19人M</x:v>
      </x:c>
      <x:c r="J4" s="4" t="str">
        <x:v>可新标人数</x:v>
      </x:c>
      <x:c r="K4" s="4" t="str">
        <x:v>Semi人数</x:v>
      </x:c>
      <x:c r="L4" s="4" t="str">
        <x:v>新增缺口</x:v>
      </x:c>
      <x:c r="M4" s="4" t="str">
        <x:v>计入预算</x:v>
      </x:c>
      <x:c r="N4" s="4" t="str">
        <x:v>清洁容量</x:v>
      </x:c>
      <x:c r="O4" s="4" t="str">
        <x:v>低人数提示</x:v>
      </x:c>
      <x:c r="P4" s="4" t="str">
        <x:v>v2采用粗类</x:v>
      </x:c>
      <x:c r="Q4" s="4" t="str">
        <x:v>粗类来源</x:v>
      </x:c>
      <x:c r="R4" s="4" t="str">
        <x:v>候选角色</x:v>
      </x:c>
      <x:c r="S4" s="4" t="str">
        <x:v>选择理由</x:v>
      </x:c>
      <x:c r="T4" s="4" t="str">
        <x:v>原表信息差异</x:v>
      </x:c>
      <x:c r="U4" s="4" t="str">
        <x:v>待审问题</x:v>
      </x:c>
      <x:c r="V4" s="4" t="str">
        <x:v>原图URL</x:v>
      </x:c>
      <x:c r="W4" s="4" t="str">
        <x:v>完整image_id</x:v>
      </x:c>
    </x:row>
    <x:row r="5" ht="44" customHeight="1">
      <x:c r="A5" s="8" t="str">
        <x:v>G179</x:v>
      </x:c>
      <x:c r="B5" s="8" t="str">
        <x:v>uNb9QFRL6hY</x:v>
      </x:c>
      <x:c r="C5" s="8" t="n">
        <x:v>8</x:v>
      </x:c>
      <x:c r="D5" s="12" t="str">
        <x:v>待审</x:v>
      </x:c>
      <x:c r="E5" s="12" t="str">
        <x:v>未定</x:v>
      </x:c>
      <x:c r="F5" s="12" t="n">
        <x:v>15</x:v>
      </x:c>
      <x:c r="G5" s="12" t="str">
        <x:v>全部历史</x:v>
      </x:c>
      <x:c r="H5" s="8" t="n">
        <x:v>23</x:v>
      </x:c>
      <x:c r="I5" s="8" t="n">
        <x:v>19</x:v>
      </x:c>
      <x:c r="J5" s="8" t="n">
        <x:v>0</x:v>
      </x:c>
      <x:c r="K5" s="8" t="n">
        <x:v>0</x:v>
      </x:c>
      <x:c r="L5" s="8" t="n">
        <x:f>MAX(0,F5-IF(G5="当前19人",I5,H5))</x:f>
        <x:v>0</x:v>
      </x:c>
      <x:c r="M5" s="8" t="n">
        <x:f>IF(OR(D5="候选纳入",D5="特殊对照"),L5,0)</x:f>
        <x:v>0</x:v>
      </x:c>
      <x:c r="N5" s="8" t="str">
        <x:f>IF(L5&lt;=J5,"可达","人数不足")</x:f>
        <x:v>可达</x:v>
      </x:c>
      <x:c r="O5" s="8" t="str">
        <x:f>IF(AND(F5&lt;15,E5&lt;&gt;"审查确认简单"),"需确认简单","")</x:f>
      </x:c>
      <x:c r="P5" s="8" t="str">
        <x:v>卧室</x:v>
      </x:c>
      <x:c r="Q5" s="8" t="str">
        <x:v>早期争议复核导出.user_type</x:v>
      </x:c>
      <x:c r="R5" s="8" t="str">
        <x:v>已有来源，优先复用</x:v>
      </x:c>
      <x:c r="S5" s="8" t="str">
        <x:v>8、65号已有两个密集来源，可比较一源/双源，不需先重采来源。</x:v>
      </x:c>
      <x:c r="T5" s="8" t="str">
        <x:v>近床头，床遮挡墙脚</x:v>
      </x:c>
      <x:c r="U5" s="8" t="str">
        <x:v>确认门口范围如何处理；原extent_alignment仍待定，29已被评论列为低优先。不能擅自合并相似的G174房间。</x:v>
      </x:c>
      <x:c r="V5" s="8" t="str">
        <x:v>https://raw.githubusercontent.com/Sparkling-Flames/3D_Manhattan_label/844a4694627e1eacc6bfb48911897335e48ecc17/data/mp3d_layout/test/img/uNb9QFRL6hY_1096f195d3294cefa462add5ab0c342e.png</x:v>
      </x:c>
      <x:c r="W5" s="8" t="str">
        <x:v>uNb9QFRL6hY_1096f195d3294cefa462add5ab0c342e</x:v>
      </x:c>
    </x:row>
    <x:row r="6" ht="44" customHeight="1">
      <x:c r="A6" s="8" t="str">
        <x:v>G179</x:v>
      </x:c>
      <x:c r="B6" s="8" t="str">
        <x:v>uNb9QFRL6hY</x:v>
      </x:c>
      <x:c r="C6" s="8" t="n">
        <x:v>10</x:v>
      </x:c>
      <x:c r="D6" s="12" t="str">
        <x:v>待审</x:v>
      </x:c>
      <x:c r="E6" s="12" t="str">
        <x:v>未定</x:v>
      </x:c>
      <x:c r="F6" s="12" t="n">
        <x:v>15</x:v>
      </x:c>
      <x:c r="G6" s="12" t="str">
        <x:v>全部历史</x:v>
      </x:c>
      <x:c r="H6" s="8" t="n">
        <x:v>0</x:v>
      </x:c>
      <x:c r="I6" s="8" t="n">
        <x:v>0</x:v>
      </x:c>
      <x:c r="J6" s="8" t="n">
        <x:v>19</x:v>
      </x:c>
      <x:c r="K6" s="8" t="n">
        <x:v>0</x:v>
      </x:c>
      <x:c r="L6" s="8" t="n">
        <x:f>MAX(0,F6-IF(G6="当前19人",I6,H6))</x:f>
        <x:v>15</x:v>
      </x:c>
      <x:c r="M6" s="8" t="n">
        <x:f>IF(OR(D6="候选纳入",D6="特殊对照"),L6,0)</x:f>
        <x:v>0</x:v>
      </x:c>
      <x:c r="N6" s="8" t="str">
        <x:f>IF(L6&lt;=J6,"可达","人数不足")</x:f>
        <x:v>可达</x:v>
      </x:c>
      <x:c r="O6" s="8" t="str">
        <x:f>IF(AND(F6&lt;15,E6&lt;&gt;"审查确认简单"),"需确认简单","")</x:f>
      </x:c>
      <x:c r="P6" s="8" t="str">
        <x:v>卧室</x:v>
      </x:c>
      <x:c r="Q6" s="8" t="str">
        <x:v>早期争议复核导出.user_type</x:v>
      </x:c>
      <x:c r="R6" s="8" t="str">
        <x:v>优先审查目标（未选定）</x:v>
      </x:c>
      <x:c r="S6" s="8" t="str">
        <x:v>8、65号已有两个密集来源，可比较一源/双源，不需先重采来源。</x:v>
      </x:c>
      <x:c r="T6" s="8" t="str">
        <x:v>近入口，外走廊可见</x:v>
      </x:c>
      <x:c r="U6" s="8" t="str">
        <x:v>确认门口范围如何处理；原extent_alignment仍待定，29已被评论列为低优先。不能擅自合并相似的G174房间。</x:v>
      </x:c>
      <x:c r="V6" s="8" t="str">
        <x:v>https://raw.githubusercontent.com/Sparkling-Flames/3D_Manhattan_label/844a4694627e1eacc6bfb48911897335e48ecc17/data/mp3d_layout/test/img/uNb9QFRL6hY_1434b965c3c147419c4ff40310633b58.png</x:v>
      </x:c>
      <x:c r="W6" s="8" t="str">
        <x:v>uNb9QFRL6hY_1434b965c3c147419c4ff40310633b58</x:v>
      </x:c>
    </x:row>
    <x:row r="7" ht="44" customHeight="1">
      <x:c r="A7" s="8" t="str">
        <x:v>G179</x:v>
      </x:c>
      <x:c r="B7" s="8" t="str">
        <x:v>uNb9QFRL6hY</x:v>
      </x:c>
      <x:c r="C7" s="8" t="n">
        <x:v>19</x:v>
      </x:c>
      <x:c r="D7" s="12" t="str">
        <x:v>待审</x:v>
      </x:c>
      <x:c r="E7" s="12" t="str">
        <x:v>未定</x:v>
      </x:c>
      <x:c r="F7" s="12" t="n">
        <x:v>15</x:v>
      </x:c>
      <x:c r="G7" s="12" t="str">
        <x:v>全部历史</x:v>
      </x:c>
      <x:c r="H7" s="8" t="n">
        <x:v>0</x:v>
      </x:c>
      <x:c r="I7" s="8" t="n">
        <x:v>0</x:v>
      </x:c>
      <x:c r="J7" s="8" t="n">
        <x:v>19</x:v>
      </x:c>
      <x:c r="K7" s="8" t="n">
        <x:v>0</x:v>
      </x:c>
      <x:c r="L7" s="8" t="n">
        <x:f>MAX(0,F7-IF(G7="当前19人",I7,H7))</x:f>
        <x:v>15</x:v>
      </x:c>
      <x:c r="M7" s="8" t="n">
        <x:f>IF(OR(D7="候选纳入",D7="特殊对照"),L7,0)</x:f>
        <x:v>0</x:v>
      </x:c>
      <x:c r="N7" s="8" t="str">
        <x:f>IF(L7&lt;=J7,"可达","人数不足")</x:f>
        <x:v>可达</x:v>
      </x:c>
      <x:c r="O7" s="8" t="str">
        <x:f>IF(AND(F7&lt;15,E7&lt;&gt;"审查确认简单"),"需确认简单","")</x:f>
      </x:c>
      <x:c r="P7" s="8" t="str">
        <x:v>卧室</x:v>
      </x:c>
      <x:c r="Q7" s="8" t="str">
        <x:v>早期争议复核导出.user_type</x:v>
      </x:c>
      <x:c r="R7" s="8" t="str">
        <x:v>优先审查目标（未选定）</x:v>
      </x:c>
      <x:c r="S7" s="8" t="str">
        <x:v>8、65号已有两个密集来源，可比较一源/双源，不需先重采来源。</x:v>
      </x:c>
      <x:c r="T7" s="8" t="str">
        <x:v>壁龛近景，床区远端</x:v>
      </x:c>
      <x:c r="U7" s="8" t="str">
        <x:v>确认门口范围如何处理；原extent_alignment仍待定，29已被评论列为低优先。不能擅自合并相似的G174房间。</x:v>
      </x:c>
      <x:c r="V7" s="8" t="str">
        <x:v>https://raw.githubusercontent.com/Sparkling-Flames/3D_Manhattan_label/844a4694627e1eacc6bfb48911897335e48ecc17/data/mp3d_layout/test/img/uNb9QFRL6hY_33dd9892d10e474ead8f7ad38a8da562.png</x:v>
      </x:c>
      <x:c r="W7" s="8" t="str">
        <x:v>uNb9QFRL6hY_33dd9892d10e474ead8f7ad38a8da562</x:v>
      </x:c>
    </x:row>
    <x:row r="8" ht="44" customHeight="1">
      <x:c r="A8" s="8" t="str">
        <x:v>G179</x:v>
      </x:c>
      <x:c r="B8" s="8" t="str">
        <x:v>uNb9QFRL6hY</x:v>
      </x:c>
      <x:c r="C8" s="8" t="n">
        <x:v>29</x:v>
      </x:c>
      <x:c r="D8" s="12" t="str">
        <x:v>待审</x:v>
      </x:c>
      <x:c r="E8" s="12" t="str">
        <x:v>未定</x:v>
      </x:c>
      <x:c r="F8" s="12" t="n">
        <x:v>15</x:v>
      </x:c>
      <x:c r="G8" s="12" t="str">
        <x:v>全部历史</x:v>
      </x:c>
      <x:c r="H8" s="8" t="n">
        <x:v>5</x:v>
      </x:c>
      <x:c r="I8" s="8" t="n">
        <x:v>4</x:v>
      </x:c>
      <x:c r="J8" s="8" t="n">
        <x:v>15</x:v>
      </x:c>
      <x:c r="K8" s="8" t="n">
        <x:v>0</x:v>
      </x:c>
      <x:c r="L8" s="8" t="n">
        <x:f>MAX(0,F8-IF(G8="当前19人",I8,H8))</x:f>
        <x:v>10</x:v>
      </x:c>
      <x:c r="M8" s="8" t="n">
        <x:f>IF(OR(D8="候选纳入",D8="特殊对照"),L8,0)</x:f>
        <x:v>0</x:v>
      </x:c>
      <x:c r="N8" s="8" t="str">
        <x:f>IF(L8&lt;=J8,"可达","人数不足")</x:f>
        <x:v>可达</x:v>
      </x:c>
      <x:c r="O8" s="8" t="str">
        <x:f>IF(AND(F8&lt;15,E8&lt;&gt;"审查确认简单"),"需确认简单","")</x:f>
      </x:c>
      <x:c r="P8" s="8" t="str">
        <x:v>卧室</x:v>
      </x:c>
      <x:c r="Q8" s="8" t="str">
        <x:v>早期争议复核导出.user_type</x:v>
      </x:c>
      <x:c r="R8" s="8" t="str">
        <x:v>替代/特殊视点，另审</x:v>
      </x:c>
      <x:c r="S8" s="8" t="str">
        <x:v>8、65号已有两个密集来源，可比较一源/双源，不需先重采来源。</x:v>
      </x:c>
      <x:c r="T8" s="8" t="str">
        <x:v>外廊和局部入口墙突出</x:v>
      </x:c>
      <x:c r="U8" s="8" t="str">
        <x:v>确认门口范围如何处理；原extent_alignment仍待定，29已被评论列为低优先。不能擅自合并相似的G174房间。</x:v>
      </x:c>
      <x:c r="V8" s="8" t="str">
        <x:v>https://raw.githubusercontent.com/Sparkling-Flames/3D_Manhattan_label/844a4694627e1eacc6bfb48911897335e48ecc17/data/mp3d_layout/test/img/uNb9QFRL6hY_6115ed700b5144cfa3443346381cb7cd.png</x:v>
      </x:c>
      <x:c r="W8" s="8" t="str">
        <x:v>uNb9QFRL6hY_6115ed700b5144cfa3443346381cb7cd</x:v>
      </x:c>
    </x:row>
    <x:row r="9" ht="44" customHeight="1">
      <x:c r="A9" s="8" t="str">
        <x:v>G179</x:v>
      </x:c>
      <x:c r="B9" s="8" t="str">
        <x:v>uNb9QFRL6hY</x:v>
      </x:c>
      <x:c r="C9" s="8" t="n">
        <x:v>55</x:v>
      </x:c>
      <x:c r="D9" s="12" t="str">
        <x:v>待审</x:v>
      </x:c>
      <x:c r="E9" s="12" t="str">
        <x:v>未定</x:v>
      </x:c>
      <x:c r="F9" s="12" t="n">
        <x:v>15</x:v>
      </x:c>
      <x:c r="G9" s="12" t="str">
        <x:v>全部历史</x:v>
      </x:c>
      <x:c r="H9" s="8" t="n">
        <x:v>0</x:v>
      </x:c>
      <x:c r="I9" s="8" t="n">
        <x:v>0</x:v>
      </x:c>
      <x:c r="J9" s="8" t="n">
        <x:v>19</x:v>
      </x:c>
      <x:c r="K9" s="8" t="n">
        <x:v>0</x:v>
      </x:c>
      <x:c r="L9" s="8" t="n">
        <x:f>MAX(0,F9-IF(G9="当前19人",I9,H9))</x:f>
        <x:v>15</x:v>
      </x:c>
      <x:c r="M9" s="8" t="n">
        <x:f>IF(OR(D9="候选纳入",D9="特殊对照"),L9,0)</x:f>
        <x:v>0</x:v>
      </x:c>
      <x:c r="N9" s="8" t="str">
        <x:f>IF(L9&lt;=J9,"可达","人数不足")</x:f>
        <x:v>可达</x:v>
      </x:c>
      <x:c r="O9" s="8" t="str">
        <x:f>IF(AND(F9&lt;15,E9&lt;&gt;"审查确认简单"),"需确认简单","")</x:f>
      </x:c>
      <x:c r="P9" s="8" t="str">
        <x:v>卧室</x:v>
      </x:c>
      <x:c r="Q9" s="8" t="str">
        <x:v>早期争议复核导出.user_type</x:v>
      </x:c>
      <x:c r="R9" s="8" t="str">
        <x:v>优先审查目标（未选定）</x:v>
      </x:c>
      <x:c r="S9" s="8" t="str">
        <x:v>8、65号已有两个密集来源，可比较一源/双源，不需先重采来源。</x:v>
      </x:c>
      <x:c r="T9" s="8" t="str">
        <x:v>近外门，床区侧视</x:v>
      </x:c>
      <x:c r="U9" s="8" t="str">
        <x:v>确认门口范围如何处理；原extent_alignment仍待定，29已被评论列为低优先。不能擅自合并相似的G174房间。</x:v>
      </x:c>
      <x:c r="V9" s="8" t="str">
        <x:v>https://raw.githubusercontent.com/Sparkling-Flames/3D_Manhattan_label/844a4694627e1eacc6bfb48911897335e48ecc17/data/mp3d_layout/test/img/uNb9QFRL6hY_ab84a27288034713b2c24e41b31acc78.png</x:v>
      </x:c>
      <x:c r="W9" s="8" t="str">
        <x:v>uNb9QFRL6hY_ab84a27288034713b2c24e41b31acc78</x:v>
      </x:c>
    </x:row>
    <x:row r="10" ht="44" customHeight="1">
      <x:c r="A10" s="8" t="str">
        <x:v>G179</x:v>
      </x:c>
      <x:c r="B10" s="8" t="str">
        <x:v>uNb9QFRL6hY</x:v>
      </x:c>
      <x:c r="C10" s="8" t="n">
        <x:v>65</x:v>
      </x:c>
      <x:c r="D10" s="12" t="str">
        <x:v>待审</x:v>
      </x:c>
      <x:c r="E10" s="12" t="str">
        <x:v>未定</x:v>
      </x:c>
      <x:c r="F10" s="12" t="n">
        <x:v>15</x:v>
      </x:c>
      <x:c r="G10" s="12" t="str">
        <x:v>全部历史</x:v>
      </x:c>
      <x:c r="H10" s="8" t="n">
        <x:v>25</x:v>
      </x:c>
      <x:c r="I10" s="8" t="n">
        <x:v>19</x:v>
      </x:c>
      <x:c r="J10" s="8" t="n">
        <x:v>0</x:v>
      </x:c>
      <x:c r="K10" s="8" t="n">
        <x:v>0</x:v>
      </x:c>
      <x:c r="L10" s="8" t="n">
        <x:f>MAX(0,F10-IF(G10="当前19人",I10,H10))</x:f>
        <x:v>0</x:v>
      </x:c>
      <x:c r="M10" s="8" t="n">
        <x:f>IF(OR(D10="候选纳入",D10="特殊对照"),L10,0)</x:f>
        <x:v>0</x:v>
      </x:c>
      <x:c r="N10" s="8" t="str">
        <x:f>IF(L10&lt;=J10,"可达","人数不足")</x:f>
        <x:v>可达</x:v>
      </x:c>
      <x:c r="O10" s="8" t="str">
        <x:f>IF(AND(F10&lt;15,E10&lt;&gt;"审查确认简单"),"需确认简单","")</x:f>
      </x:c>
      <x:c r="P10" s="8" t="str">
        <x:v>卧室</x:v>
      </x:c>
      <x:c r="Q10" s="8" t="str">
        <x:v>早期争议复核导出.user_type</x:v>
      </x:c>
      <x:c r="R10" s="8" t="str">
        <x:v>已有来源，优先复用</x:v>
      </x:c>
      <x:c r="S10" s="8" t="str">
        <x:v>8、65号已有两个密集来源，可比较一源/双源，不需先重采来源。</x:v>
      </x:c>
      <x:c r="T10" s="8" t="str">
        <x:v>床与座椅遮挡墙脚</x:v>
      </x:c>
      <x:c r="U10" s="8" t="str">
        <x:v>确认门口范围如何处理；原extent_alignment仍待定，29已被评论列为低优先。不能擅自合并相似的G174房间。</x:v>
      </x:c>
      <x:c r="V10" s="8" t="str">
        <x:v>https://raw.githubusercontent.com/Sparkling-Flames/3D_Manhattan_label/844a4694627e1eacc6bfb48911897335e48ecc17/data/mp3d_layout/test/img/uNb9QFRL6hY_c1ebb8b34eb846ba9b5ce23b30b299a7.png</x:v>
      </x:c>
      <x:c r="W10" s="8" t="str">
        <x:v>uNb9QFRL6hY_c1ebb8b34eb846ba9b5ce23b30b299a7</x:v>
      </x:c>
    </x:row>
    <x:row r="11" ht="44" customHeight="1">
      <x:c r="A11" s="8" t="str">
        <x:v>G179</x:v>
      </x:c>
      <x:c r="B11" s="8" t="str">
        <x:v>uNb9QFRL6hY</x:v>
      </x:c>
      <x:c r="C11" s="8" t="n">
        <x:v>68</x:v>
      </x:c>
      <x:c r="D11" s="12" t="str">
        <x:v>待审</x:v>
      </x:c>
      <x:c r="E11" s="12" t="str">
        <x:v>未定</x:v>
      </x:c>
      <x:c r="F11" s="12" t="n">
        <x:v>15</x:v>
      </x:c>
      <x:c r="G11" s="12" t="str">
        <x:v>全部历史</x:v>
      </x:c>
      <x:c r="H11" s="8" t="n">
        <x:v>5</x:v>
      </x:c>
      <x:c r="I11" s="8" t="n">
        <x:v>4</x:v>
      </x:c>
      <x:c r="J11" s="8" t="n">
        <x:v>12</x:v>
      </x:c>
      <x:c r="K11" s="8" t="n">
        <x:v>5</x:v>
      </x:c>
      <x:c r="L11" s="8" t="n">
        <x:f>MAX(0,F11-IF(G11="当前19人",I11,H11))</x:f>
        <x:v>10</x:v>
      </x:c>
      <x:c r="M11" s="8" t="n">
        <x:f>IF(OR(D11="候选纳入",D11="特殊对照"),L11,0)</x:f>
        <x:v>0</x:v>
      </x:c>
      <x:c r="N11" s="8" t="str">
        <x:f>IF(L11&lt;=J11,"可达","人数不足")</x:f>
        <x:v>可达</x:v>
      </x:c>
      <x:c r="O11" s="8" t="str">
        <x:f>IF(AND(F11&lt;15,E11&lt;&gt;"审查确认简单"),"需确认简单","")</x:f>
      </x:c>
      <x:c r="P11" s="8" t="str">
        <x:v>卧室</x:v>
      </x:c>
      <x:c r="Q11" s="8" t="str">
        <x:v>早期争议复核导出.user_type</x:v>
      </x:c>
      <x:c r="R11" s="8" t="str">
        <x:v>替代/特殊视点，另审</x:v>
      </x:c>
      <x:c r="S11" s="8" t="str">
        <x:v>8、65号已有两个密集来源，可比较一源/双源，不需先重采来源。</x:v>
      </x:c>
      <x:c r="T11" s="8" t="str">
        <x:v>与65相近位置但仍为不同图，不视作独立房</x:v>
      </x:c>
      <x:c r="U11" s="8" t="str">
        <x:v>确认门口范围如何处理；原extent_alignment仍待定，29已被评论列为低优先。不能擅自合并相似的G174房间。</x:v>
      </x:c>
      <x:c r="V11" s="8" t="str">
        <x:v>https://raw.githubusercontent.com/Sparkling-Flames/3D_Manhattan_label/844a4694627e1eacc6bfb48911897335e48ecc17/data/mp3d_layout/test/img/uNb9QFRL6hY_cdca0a1a2fc343bb94bacdc3045b2d8d.png</x:v>
      </x:c>
      <x:c r="W11" s="8" t="str">
        <x:v>uNb9QFRL6hY_cdca0a1a2fc343bb94bacdc3045b2d8d</x:v>
      </x:c>
    </x:row>
    <x:row r="12" ht="44" customHeight="1">
      <x:c r="A12" s="8" t="str">
        <x:v>G179</x:v>
      </x:c>
      <x:c r="B12" s="8" t="str">
        <x:v>uNb9QFRL6hY</x:v>
      </x:c>
      <x:c r="C12" s="8" t="n">
        <x:v>81</x:v>
      </x:c>
      <x:c r="D12" s="12" t="str">
        <x:v>待审</x:v>
      </x:c>
      <x:c r="E12" s="12" t="str">
        <x:v>未定</x:v>
      </x:c>
      <x:c r="F12" s="12" t="n">
        <x:v>15</x:v>
      </x:c>
      <x:c r="G12" s="12" t="str">
        <x:v>全部历史</x:v>
      </x:c>
      <x:c r="H12" s="8" t="n">
        <x:v>0</x:v>
      </x:c>
      <x:c r="I12" s="8" t="n">
        <x:v>0</x:v>
      </x:c>
      <x:c r="J12" s="8" t="n">
        <x:v>19</x:v>
      </x:c>
      <x:c r="K12" s="8" t="n">
        <x:v>0</x:v>
      </x:c>
      <x:c r="L12" s="8" t="n">
        <x:f>MAX(0,F12-IF(G12="当前19人",I12,H12))</x:f>
        <x:v>15</x:v>
      </x:c>
      <x:c r="M12" s="8" t="n">
        <x:f>IF(OR(D12="候选纳入",D12="特殊对照"),L12,0)</x:f>
        <x:v>0</x:v>
      </x:c>
      <x:c r="N12" s="8" t="str">
        <x:f>IF(L12&lt;=J12,"可达","人数不足")</x:f>
        <x:v>可达</x:v>
      </x:c>
      <x:c r="O12" s="8" t="str">
        <x:f>IF(AND(F12&lt;15,E12&lt;&gt;"审查确认简单"),"需确认简单","")</x:f>
      </x:c>
      <x:c r="P12" s="8" t="str">
        <x:v>卧室</x:v>
      </x:c>
      <x:c r="Q12" s="8" t="str">
        <x:v>早期争议复核导出.user_type</x:v>
      </x:c>
      <x:c r="R12" s="8" t="str">
        <x:v>优先审查目标（未选定）</x:v>
      </x:c>
      <x:c r="S12" s="8" t="str">
        <x:v>8、65号已有两个密集来源，可比较一源/双源，不需先重采来源。</x:v>
      </x:c>
      <x:c r="T12" s="8" t="str">
        <x:v>近壁龛，床体遮挡</x:v>
      </x:c>
      <x:c r="U12" s="8" t="str">
        <x:v>确认门口范围如何处理；原extent_alignment仍待定，29已被评论列为低优先。不能擅自合并相似的G174房间。</x:v>
      </x:c>
      <x:c r="V12" s="8" t="str">
        <x:v>https://raw.githubusercontent.com/Sparkling-Flames/3D_Manhattan_label/844a4694627e1eacc6bfb48911897335e48ecc17/data/mp3d_layout/test/img/uNb9QFRL6hY_e8fcf8c5bd324655a25186117151ccbd.png</x:v>
      </x:c>
      <x:c r="W12" s="8" t="str">
        <x:v>uNb9QFRL6hY_e8fcf8c5bd324655a25186117151ccbd</x:v>
      </x:c>
    </x:row>
    <x:row r="13" ht="44" customHeight="1">
      <x:c r="A13" s="8" t="str">
        <x:v>G179</x:v>
      </x:c>
      <x:c r="B13" s="8" t="str">
        <x:v>uNb9QFRL6hY</x:v>
      </x:c>
      <x:c r="C13" s="8" t="n">
        <x:v>86</x:v>
      </x:c>
      <x:c r="D13" s="12" t="str">
        <x:v>待审</x:v>
      </x:c>
      <x:c r="E13" s="12" t="str">
        <x:v>未定</x:v>
      </x:c>
      <x:c r="F13" s="12" t="n">
        <x:v>15</x:v>
      </x:c>
      <x:c r="G13" s="12" t="str">
        <x:v>全部历史</x:v>
      </x:c>
      <x:c r="H13" s="8" t="n">
        <x:v>0</x:v>
      </x:c>
      <x:c r="I13" s="8" t="n">
        <x:v>0</x:v>
      </x:c>
      <x:c r="J13" s="8" t="n">
        <x:v>19</x:v>
      </x:c>
      <x:c r="K13" s="8" t="n">
        <x:v>0</x:v>
      </x:c>
      <x:c r="L13" s="8" t="n">
        <x:f>MAX(0,F13-IF(G13="当前19人",I13,H13))</x:f>
        <x:v>15</x:v>
      </x:c>
      <x:c r="M13" s="8" t="n">
        <x:f>IF(OR(D13="候选纳入",D13="特殊对照"),L13,0)</x:f>
        <x:v>0</x:v>
      </x:c>
      <x:c r="N13" s="8" t="str">
        <x:f>IF(L13&lt;=J13,"可达","人数不足")</x:f>
        <x:v>可达</x:v>
      </x:c>
      <x:c r="O13" s="8" t="str">
        <x:f>IF(AND(F13&lt;15,E13&lt;&gt;"审查确认简单"),"需确认简单","")</x:f>
      </x:c>
      <x:c r="P13" s="8" t="str">
        <x:v>卧室</x:v>
      </x:c>
      <x:c r="Q13" s="8" t="str">
        <x:v>早期争议复核导出.user_type</x:v>
      </x:c>
      <x:c r="R13" s="8" t="str">
        <x:v>优先审查目标（未选定）</x:v>
      </x:c>
      <x:c r="S13" s="8" t="str">
        <x:v>8、65号已有两个密集来源，可比较一源/双源，不需先重采来源。</x:v>
      </x:c>
      <x:c r="T13" s="8" t="str">
        <x:v>近黑镜墙，外廊部分可见</x:v>
      </x:c>
      <x:c r="U13" s="8" t="str">
        <x:v>确认门口范围如何处理；原extent_alignment仍待定，29已被评论列为低优先。不能擅自合并相似的G174房间。</x:v>
      </x:c>
      <x:c r="V13" s="8" t="str">
        <x:v>https://raw.githubusercontent.com/Sparkling-Flames/3D_Manhattan_label/844a4694627e1eacc6bfb48911897335e48ecc17/data/mp3d_layout/test/img/uNb9QFRL6hY_fd10460fd2bc4c52af84e36e89357269.png</x:v>
      </x:c>
      <x:c r="W13" s="8" t="str">
        <x:v>uNb9QFRL6hY_fd10460fd2bc4c52af84e36e89357269</x:v>
      </x:c>
    </x:row>
    <x:row r="14" ht="44" customHeight="1">
      <x:c r="A14" s="8" t="str">
        <x:v>G184</x:v>
      </x:c>
      <x:c r="B14" s="8" t="str">
        <x:v>uNb9QFRL6hY</x:v>
      </x:c>
      <x:c r="C14" s="8" t="n">
        <x:v>18</x:v>
      </x:c>
      <x:c r="D14" s="12" t="str">
        <x:v>待审</x:v>
      </x:c>
      <x:c r="E14" s="12" t="str">
        <x:v>未定</x:v>
      </x:c>
      <x:c r="F14" s="12" t="n">
        <x:v>15</x:v>
      </x:c>
      <x:c r="G14" s="12" t="str">
        <x:v>全部历史</x:v>
      </x:c>
      <x:c r="H14" s="8" t="n">
        <x:v>0</x:v>
      </x:c>
      <x:c r="I14" s="8" t="n">
        <x:v>0</x:v>
      </x:c>
      <x:c r="J14" s="8" t="n">
        <x:v>19</x:v>
      </x:c>
      <x:c r="K14" s="8" t="n">
        <x:v>0</x:v>
      </x:c>
      <x:c r="L14" s="8" t="n">
        <x:f>MAX(0,F14-IF(G14="当前19人",I14,H14))</x:f>
        <x:v>15</x:v>
      </x:c>
      <x:c r="M14" s="8" t="n">
        <x:f>IF(OR(D14="候选纳入",D14="特殊对照"),L14,0)</x:f>
        <x:v>0</x:v>
      </x:c>
      <x:c r="N14" s="8" t="str">
        <x:f>IF(L14&lt;=J14,"可达","人数不足")</x:f>
        <x:v>可达</x:v>
      </x:c>
      <x:c r="O14" s="8" t="str">
        <x:f>IF(AND(F14&lt;15,E14&lt;&gt;"审查确认简单"),"需确认简单","")</x:f>
      </x:c>
      <x:c r="P14" s="8" t="str">
        <x:v>卫浴</x:v>
      </x:c>
      <x:c r="Q14" s="8" t="str">
        <x:v>早期争议复核导出.user_type</x:v>
      </x:c>
      <x:c r="R14" s="8" t="str">
        <x:v>优先审查目标（未选定）</x:v>
      </x:c>
      <x:c r="S14" s="8" t="str">
        <x:v>50、60号均有23人；26、66、88各有5人，具备双源和低成本补齐条件。</x:v>
      </x:c>
      <x:c r="T14" s="8" t="str">
        <x:v>透明玻璃、镜面和外门高差</x:v>
      </x:c>
      <x:c r="U14" s="8" t="str">
        <x:v>67主空间与其余不同；排除67后的8图组仍待确认。原main_visual_alignment待定；高难度不自动等于OOS。</x:v>
      </x:c>
      <x:c r="V14" s="8" t="str">
        <x:v>https://raw.githubusercontent.com/Sparkling-Flames/3D_Manhattan_label/844a4694627e1eacc6bfb48911897335e48ecc17/data/mp3d_layout/test/img/uNb9QFRL6hY_2ed0e171a7c34f17a85363923a26ab98.png</x:v>
      </x:c>
      <x:c r="W14" s="8" t="str">
        <x:v>uNb9QFRL6hY_2ed0e171a7c34f17a85363923a26ab98</x:v>
      </x:c>
    </x:row>
    <x:row r="15" ht="44" customHeight="1">
      <x:c r="A15" s="8" t="str">
        <x:v>G184</x:v>
      </x:c>
      <x:c r="B15" s="8" t="str">
        <x:v>uNb9QFRL6hY</x:v>
      </x:c>
      <x:c r="C15" s="8" t="n">
        <x:v>26</x:v>
      </x:c>
      <x:c r="D15" s="12" t="str">
        <x:v>待审</x:v>
      </x:c>
      <x:c r="E15" s="12" t="str">
        <x:v>未定</x:v>
      </x:c>
      <x:c r="F15" s="12" t="n">
        <x:v>15</x:v>
      </x:c>
      <x:c r="G15" s="12" t="str">
        <x:v>全部历史</x:v>
      </x:c>
      <x:c r="H15" s="8" t="n">
        <x:v>5</x:v>
      </x:c>
      <x:c r="I15" s="8" t="n">
        <x:v>5</x:v>
      </x:c>
      <x:c r="J15" s="8" t="n">
        <x:v>14</x:v>
      </x:c>
      <x:c r="K15" s="8" t="n">
        <x:v>0</x:v>
      </x:c>
      <x:c r="L15" s="8" t="n">
        <x:f>MAX(0,F15-IF(G15="当前19人",I15,H15))</x:f>
        <x:v>10</x:v>
      </x:c>
      <x:c r="M15" s="8" t="n">
        <x:f>IF(OR(D15="候选纳入",D15="特殊对照"),L15,0)</x:f>
        <x:v>0</x:v>
      </x:c>
      <x:c r="N15" s="8" t="str">
        <x:f>IF(L15&lt;=J15,"可达","人数不足")</x:f>
        <x:v>可达</x:v>
      </x:c>
      <x:c r="O15" s="8" t="str">
        <x:f>IF(AND(F15&lt;15,E15&lt;&gt;"审查确认简单"),"需确认简单","")</x:f>
      </x:c>
      <x:c r="P15" s="8" t="str">
        <x:v>卫浴</x:v>
      </x:c>
      <x:c r="Q15" s="8" t="str">
        <x:v>早期争议复核导出.user_type</x:v>
      </x:c>
      <x:c r="R15" s="8" t="str">
        <x:v>优先审查目标（未选定）</x:v>
      </x:c>
      <x:c r="S15" s="8" t="str">
        <x:v>50、60号均有23人；26、66、88各有5人，具备双源和低成本补齐条件。</x:v>
      </x:c>
      <x:c r="T15" s="8" t="str">
        <x:v>更近入口一端，厕位另有独立门</x:v>
      </x:c>
      <x:c r="U15" s="8" t="str">
        <x:v>67主空间与其余不同；排除67后的8图组仍待确认。原main_visual_alignment待定；高难度不自动等于OOS。</x:v>
      </x:c>
      <x:c r="V15" s="8" t="str">
        <x:v>https://raw.githubusercontent.com/Sparkling-Flames/3D_Manhattan_label/844a4694627e1eacc6bfb48911897335e48ecc17/data/mp3d_layout/test/img/uNb9QFRL6hY_5b62816d9cf94f17ae166291822ea9ab.png</x:v>
      </x:c>
      <x:c r="W15" s="8" t="str">
        <x:v>uNb9QFRL6hY_5b62816d9cf94f17ae166291822ea9ab</x:v>
      </x:c>
    </x:row>
    <x:row r="16" ht="44" customHeight="1">
      <x:c r="A16" s="8" t="str">
        <x:v>G184</x:v>
      </x:c>
      <x:c r="B16" s="8" t="str">
        <x:v>uNb9QFRL6hY</x:v>
      </x:c>
      <x:c r="C16" s="8" t="n">
        <x:v>41</x:v>
      </x:c>
      <x:c r="D16" s="12" t="str">
        <x:v>待审</x:v>
      </x:c>
      <x:c r="E16" s="12" t="str">
        <x:v>未定</x:v>
      </x:c>
      <x:c r="F16" s="12" t="n">
        <x:v>15</x:v>
      </x:c>
      <x:c r="G16" s="12" t="str">
        <x:v>全部历史</x:v>
      </x:c>
      <x:c r="H16" s="8" t="n">
        <x:v>0</x:v>
      </x:c>
      <x:c r="I16" s="8" t="n">
        <x:v>0</x:v>
      </x:c>
      <x:c r="J16" s="8" t="n">
        <x:v>19</x:v>
      </x:c>
      <x:c r="K16" s="8" t="n">
        <x:v>0</x:v>
      </x:c>
      <x:c r="L16" s="8" t="n">
        <x:f>MAX(0,F16-IF(G16="当前19人",I16,H16))</x:f>
        <x:v>15</x:v>
      </x:c>
      <x:c r="M16" s="8" t="n">
        <x:f>IF(OR(D16="候选纳入",D16="特殊对照"),L16,0)</x:f>
        <x:v>0</x:v>
      </x:c>
      <x:c r="N16" s="8" t="str">
        <x:f>IF(L16&lt;=J16,"可达","人数不足")</x:f>
        <x:v>可达</x:v>
      </x:c>
      <x:c r="O16" s="8" t="str">
        <x:f>IF(AND(F16&lt;15,E16&lt;&gt;"审查确认简单"),"需确认简单","")</x:f>
      </x:c>
      <x:c r="P16" s="8" t="str">
        <x:v>卫浴</x:v>
      </x:c>
      <x:c r="Q16" s="8" t="str">
        <x:v>早期争议复核导出.user_type</x:v>
      </x:c>
      <x:c r="R16" s="8" t="str">
        <x:v>优先审查目标（未选定）</x:v>
      </x:c>
      <x:c r="S16" s="8" t="str">
        <x:v>50、60号均有23人；26、66、88各有5人，具备双源和低成本补齐条件。</x:v>
      </x:c>
      <x:c r="T16" s="8" t="str">
        <x:v>靠镜台，反射辨识</x:v>
      </x:c>
      <x:c r="U16" s="8" t="str">
        <x:v>67主空间与其余不同；排除67后的8图组仍待确认。原main_visual_alignment待定；高难度不自动等于OOS。</x:v>
      </x:c>
      <x:c r="V16" s="8" t="str">
        <x:v>https://raw.githubusercontent.com/Sparkling-Flames/3D_Manhattan_label/844a4694627e1eacc6bfb48911897335e48ecc17/data/mp3d_layout/test/img/uNb9QFRL6hY_76ba70b55bde4313939a4a0cd78a49d3.png</x:v>
      </x:c>
      <x:c r="W16" s="8" t="str">
        <x:v>uNb9QFRL6hY_76ba70b55bde4313939a4a0cd78a49d3</x:v>
      </x:c>
    </x:row>
    <x:row r="17" ht="44" customHeight="1">
      <x:c r="A17" s="8" t="str">
        <x:v>G184</x:v>
      </x:c>
      <x:c r="B17" s="8" t="str">
        <x:v>uNb9QFRL6hY</x:v>
      </x:c>
      <x:c r="C17" s="8" t="n">
        <x:v>50</x:v>
      </x:c>
      <x:c r="D17" s="12" t="str">
        <x:v>待审</x:v>
      </x:c>
      <x:c r="E17" s="12" t="str">
        <x:v>未定</x:v>
      </x:c>
      <x:c r="F17" s="12" t="n">
        <x:v>15</x:v>
      </x:c>
      <x:c r="G17" s="12" t="str">
        <x:v>全部历史</x:v>
      </x:c>
      <x:c r="H17" s="8" t="n">
        <x:v>23</x:v>
      </x:c>
      <x:c r="I17" s="8" t="n">
        <x:v>19</x:v>
      </x:c>
      <x:c r="J17" s="8" t="n">
        <x:v>0</x:v>
      </x:c>
      <x:c r="K17" s="8" t="n">
        <x:v>0</x:v>
      </x:c>
      <x:c r="L17" s="8" t="n">
        <x:f>MAX(0,F17-IF(G17="当前19人",I17,H17))</x:f>
        <x:v>0</x:v>
      </x:c>
      <x:c r="M17" s="8" t="n">
        <x:f>IF(OR(D17="候选纳入",D17="特殊对照"),L17,0)</x:f>
        <x:v>0</x:v>
      </x:c>
      <x:c r="N17" s="8" t="str">
        <x:f>IF(L17&lt;=J17,"可达","人数不足")</x:f>
        <x:v>可达</x:v>
      </x:c>
      <x:c r="O17" s="8" t="str">
        <x:f>IF(AND(F17&lt;15,E17&lt;&gt;"审查确认简单"),"需确认简单","")</x:f>
      </x:c>
      <x:c r="P17" s="8" t="str">
        <x:v>卫浴</x:v>
      </x:c>
      <x:c r="Q17" s="8" t="str">
        <x:v>早期争议复核导出.user_type</x:v>
      </x:c>
      <x:c r="R17" s="8" t="str">
        <x:v>已有来源，优先复用</x:v>
      </x:c>
      <x:c r="S17" s="8" t="str">
        <x:v>50、60号均有23人；26、66、88各有5人，具备双源和低成本补齐条件。</x:v>
      </x:c>
      <x:c r="T17" s="8" t="str">
        <x:v>内厕位门大幅可见，但独立隔室</x:v>
      </x:c>
      <x:c r="U17" s="8" t="str">
        <x:v>67主空间与其余不同；排除67后的8图组仍待确认。原main_visual_alignment待定；高难度不自动等于OOS。</x:v>
      </x:c>
      <x:c r="V17" s="8" t="str">
        <x:v>https://raw.githubusercontent.com/Sparkling-Flames/3D_Manhattan_label/844a4694627e1eacc6bfb48911897335e48ecc17/data/mp3d_layout/test/img/uNb9QFRL6hY_9f199750b00c4f5484a546d79e06a0f8.png</x:v>
      </x:c>
      <x:c r="W17" s="8" t="str">
        <x:v>uNb9QFRL6hY_9f199750b00c4f5484a546d79e06a0f8</x:v>
      </x:c>
    </x:row>
    <x:row r="18" ht="44" customHeight="1">
      <x:c r="A18" s="8" t="str">
        <x:v>G184</x:v>
      </x:c>
      <x:c r="B18" s="8" t="str">
        <x:v>uNb9QFRL6hY</x:v>
      </x:c>
      <x:c r="C18" s="8" t="n">
        <x:v>59</x:v>
      </x:c>
      <x:c r="D18" s="12" t="str">
        <x:v>待审</x:v>
      </x:c>
      <x:c r="E18" s="12" t="str">
        <x:v>未定</x:v>
      </x:c>
      <x:c r="F18" s="12" t="n">
        <x:v>15</x:v>
      </x:c>
      <x:c r="G18" s="12" t="str">
        <x:v>全部历史</x:v>
      </x:c>
      <x:c r="H18" s="8" t="n">
        <x:v>0</x:v>
      </x:c>
      <x:c r="I18" s="8" t="n">
        <x:v>0</x:v>
      </x:c>
      <x:c r="J18" s="8" t="n">
        <x:v>19</x:v>
      </x:c>
      <x:c r="K18" s="8" t="n">
        <x:v>0</x:v>
      </x:c>
      <x:c r="L18" s="8" t="n">
        <x:f>MAX(0,F18-IF(G18="当前19人",I18,H18))</x:f>
        <x:v>15</x:v>
      </x:c>
      <x:c r="M18" s="8" t="n">
        <x:f>IF(OR(D18="候选纳入",D18="特殊对照"),L18,0)</x:f>
        <x:v>0</x:v>
      </x:c>
      <x:c r="N18" s="8" t="str">
        <x:f>IF(L18&lt;=J18,"可达","人数不足")</x:f>
        <x:v>可达</x:v>
      </x:c>
      <x:c r="O18" s="8" t="str">
        <x:f>IF(AND(F18&lt;15,E18&lt;&gt;"审查确认简单"),"需确认简单","")</x:f>
      </x:c>
      <x:c r="P18" s="8" t="str">
        <x:v>卫浴</x:v>
      </x:c>
      <x:c r="Q18" s="8" t="str">
        <x:v>早期争议复核导出.user_type</x:v>
      </x:c>
      <x:c r="R18" s="8" t="str">
        <x:v>优先审查目标（未选定）</x:v>
      </x:c>
      <x:c r="S18" s="8" t="str">
        <x:v>50、60号均有23人；26、66、88各有5人，具备双源和低成本补齐条件。</x:v>
      </x:c>
      <x:c r="T18" s="8" t="str">
        <x:v>透明隔断与台阶明显</x:v>
      </x:c>
      <x:c r="U18" s="8" t="str">
        <x:v>67主空间与其余不同；排除67后的8图组仍待确认。原main_visual_alignment待定；高难度不自动等于OOS。</x:v>
      </x:c>
      <x:c r="V18" s="8" t="str">
        <x:v>https://raw.githubusercontent.com/Sparkling-Flames/3D_Manhattan_label/844a4694627e1eacc6bfb48911897335e48ecc17/data/mp3d_layout/test/img/uNb9QFRL6hY_b98c9460586e4f138658181461df9f51.png</x:v>
      </x:c>
      <x:c r="W18" s="8" t="str">
        <x:v>uNb9QFRL6hY_b98c9460586e4f138658181461df9f51</x:v>
      </x:c>
    </x:row>
    <x:row r="19" ht="44" customHeight="1">
      <x:c r="A19" s="8" t="str">
        <x:v>G184</x:v>
      </x:c>
      <x:c r="B19" s="8" t="str">
        <x:v>uNb9QFRL6hY</x:v>
      </x:c>
      <x:c r="C19" s="8" t="n">
        <x:v>60</x:v>
      </x:c>
      <x:c r="D19" s="12" t="str">
        <x:v>待审</x:v>
      </x:c>
      <x:c r="E19" s="12" t="str">
        <x:v>未定</x:v>
      </x:c>
      <x:c r="F19" s="12" t="n">
        <x:v>15</x:v>
      </x:c>
      <x:c r="G19" s="12" t="str">
        <x:v>全部历史</x:v>
      </x:c>
      <x:c r="H19" s="8" t="n">
        <x:v>23</x:v>
      </x:c>
      <x:c r="I19" s="8" t="n">
        <x:v>19</x:v>
      </x:c>
      <x:c r="J19" s="8" t="n">
        <x:v>0</x:v>
      </x:c>
      <x:c r="K19" s="8" t="n">
        <x:v>0</x:v>
      </x:c>
      <x:c r="L19" s="8" t="n">
        <x:f>MAX(0,F19-IF(G19="当前19人",I19,H19))</x:f>
        <x:v>0</x:v>
      </x:c>
      <x:c r="M19" s="8" t="n">
        <x:f>IF(OR(D19="候选纳入",D19="特殊对照"),L19,0)</x:f>
        <x:v>0</x:v>
      </x:c>
      <x:c r="N19" s="8" t="str">
        <x:f>IF(L19&lt;=J19,"可达","人数不足")</x:f>
        <x:v>可达</x:v>
      </x:c>
      <x:c r="O19" s="8" t="str">
        <x:f>IF(AND(F19&lt;15,E19&lt;&gt;"审查确认简单"),"需确认简单","")</x:f>
      </x:c>
      <x:c r="P19" s="8" t="str">
        <x:v>卫浴</x:v>
      </x:c>
      <x:c r="Q19" s="8" t="str">
        <x:v>早期争议复核导出.user_type</x:v>
      </x:c>
      <x:c r="R19" s="8" t="str">
        <x:v>已有来源，优先复用</x:v>
      </x:c>
      <x:c r="S19" s="8" t="str">
        <x:v>50、60号均有23人；26、66、88各有5人，具备双源和低成本补齐条件。</x:v>
      </x:c>
      <x:c r="T19" s="8" t="str">
        <x:v>近淋浴玻璃，仍主要呈现主厅</x:v>
      </x:c>
      <x:c r="U19" s="8" t="str">
        <x:v>67主空间与其余不同；排除67后的8图组仍待确认。原main_visual_alignment待定；高难度不自动等于OOS。</x:v>
      </x:c>
      <x:c r="V19" s="8" t="str">
        <x:v>https://raw.githubusercontent.com/Sparkling-Flames/3D_Manhattan_label/844a4694627e1eacc6bfb48911897335e48ecc17/data/mp3d_layout/test/img/uNb9QFRL6hY_ba24e5a57ef34c6dbc0458ed4c1e701d.png</x:v>
      </x:c>
      <x:c r="W19" s="8" t="str">
        <x:v>uNb9QFRL6hY_ba24e5a57ef34c6dbc0458ed4c1e701d</x:v>
      </x:c>
    </x:row>
    <x:row r="20" ht="44" customHeight="1">
      <x:c r="A20" s="8" t="str">
        <x:v>G184</x:v>
      </x:c>
      <x:c r="B20" s="8" t="str">
        <x:v>uNb9QFRL6hY</x:v>
      </x:c>
      <x:c r="C20" s="8" t="n">
        <x:v>66</x:v>
      </x:c>
      <x:c r="D20" s="12" t="str">
        <x:v>待审</x:v>
      </x:c>
      <x:c r="E20" s="12" t="str">
        <x:v>未定</x:v>
      </x:c>
      <x:c r="F20" s="12" t="n">
        <x:v>15</x:v>
      </x:c>
      <x:c r="G20" s="12" t="str">
        <x:v>全部历史</x:v>
      </x:c>
      <x:c r="H20" s="8" t="n">
        <x:v>5</x:v>
      </x:c>
      <x:c r="I20" s="8" t="n">
        <x:v>4</x:v>
      </x:c>
      <x:c r="J20" s="8" t="n">
        <x:v>15</x:v>
      </x:c>
      <x:c r="K20" s="8" t="n">
        <x:v>0</x:v>
      </x:c>
      <x:c r="L20" s="8" t="n">
        <x:f>MAX(0,F20-IF(G20="当前19人",I20,H20))</x:f>
        <x:v>10</x:v>
      </x:c>
      <x:c r="M20" s="8" t="n">
        <x:f>IF(OR(D20="候选纳入",D20="特殊对照"),L20,0)</x:f>
        <x:v>0</x:v>
      </x:c>
      <x:c r="N20" s="8" t="str">
        <x:f>IF(L20&lt;=J20,"可达","人数不足")</x:f>
        <x:v>可达</x:v>
      </x:c>
      <x:c r="O20" s="8" t="str">
        <x:f>IF(AND(F20&lt;15,E20&lt;&gt;"审查确认简单"),"需确认简单","")</x:f>
      </x:c>
      <x:c r="P20" s="8" t="str">
        <x:v>卫浴</x:v>
      </x:c>
      <x:c r="Q20" s="8" t="str">
        <x:v>早期争议复核导出.user_type</x:v>
      </x:c>
      <x:c r="R20" s="8" t="str">
        <x:v>优先审查目标（未选定）</x:v>
      </x:c>
      <x:c r="S20" s="8" t="str">
        <x:v>50、60号均有23人；26、66、88各有5人，具备双源和低成本补齐条件。</x:v>
      </x:c>
      <x:c r="T20" s="8" t="str">
        <x:v>近浴缸视点，仍含主厅</x:v>
      </x:c>
      <x:c r="U20" s="8" t="str">
        <x:v>67主空间与其余不同；排除67后的8图组仍待确认。原main_visual_alignment待定；高难度不自动等于OOS。</x:v>
      </x:c>
      <x:c r="V20" s="8" t="str">
        <x:v>https://raw.githubusercontent.com/Sparkling-Flames/3D_Manhattan_label/844a4694627e1eacc6bfb48911897335e48ecc17/data/mp3d_layout/test/img/uNb9QFRL6hY_c6410f47ad754d6cbd890ba7dff8b449.png</x:v>
      </x:c>
      <x:c r="W20" s="8" t="str">
        <x:v>uNb9QFRL6hY_c6410f47ad754d6cbd890ba7dff8b449</x:v>
      </x:c>
    </x:row>
    <x:row r="21" ht="44" customHeight="1">
      <x:c r="A21" s="8" t="str">
        <x:v>G184</x:v>
      </x:c>
      <x:c r="B21" s="8" t="str">
        <x:v>uNb9QFRL6hY</x:v>
      </x:c>
      <x:c r="C21" s="8" t="n">
        <x:v>67</x:v>
      </x:c>
      <x:c r="D21" s="12" t="str">
        <x:v>待审</x:v>
      </x:c>
      <x:c r="E21" s="12" t="str">
        <x:v>未定</x:v>
      </x:c>
      <x:c r="F21" s="12" t="n">
        <x:v>15</x:v>
      </x:c>
      <x:c r="G21" s="12" t="str">
        <x:v>全部历史</x:v>
      </x:c>
      <x:c r="H21" s="8" t="n">
        <x:v>5</x:v>
      </x:c>
      <x:c r="I21" s="8" t="n">
        <x:v>4</x:v>
      </x:c>
      <x:c r="J21" s="8" t="n">
        <x:v>15</x:v>
      </x:c>
      <x:c r="K21" s="8" t="n">
        <x:v>0</x:v>
      </x:c>
      <x:c r="L21" s="8" t="n">
        <x:f>MAX(0,F21-IF(G21="当前19人",I21,H21))</x:f>
        <x:v>10</x:v>
      </x:c>
      <x:c r="M21" s="8" t="n">
        <x:f>IF(OR(D21="候选纳入",D21="特殊对照"),L21,0)</x:f>
        <x:v>0</x:v>
      </x:c>
      <x:c r="N21" s="8" t="str">
        <x:f>IF(L21&lt;=J21,"可达","人数不足")</x:f>
        <x:v>可达</x:v>
      </x:c>
      <x:c r="O21" s="8" t="str">
        <x:f>IF(AND(F21&lt;15,E21&lt;&gt;"审查确认简单"),"需确认简单","")</x:f>
      </x:c>
      <x:c r="P21" s="8" t="str">
        <x:v>卫浴</x:v>
      </x:c>
      <x:c r="Q21" s="8" t="str">
        <x:v>早期争议复核导出.user_type</x:v>
      </x:c>
      <x:c r="R21" s="8" t="str">
        <x:v>替代/特殊视点，另审</x:v>
      </x:c>
      <x:c r="S21" s="8" t="str">
        <x:v>50、60号均有23人；26、66、88各有5人，具备双源和低成本补齐条件。</x:v>
      </x:c>
      <x:c r="T21" s="8" t="str">
        <x:v>主厅在玻璃门外，内外信息明显不同</x:v>
      </x:c>
      <x:c r="U21" s="8" t="str">
        <x:v>67主空间与其余不同；排除67后的8图组仍待确认。原main_visual_alignment待定；高难度不自动等于OOS。</x:v>
      </x:c>
      <x:c r="V21" s="8" t="str">
        <x:v>https://raw.githubusercontent.com/Sparkling-Flames/3D_Manhattan_label/844a4694627e1eacc6bfb48911897335e48ecc17/data/mp3d_layout/test/img/uNb9QFRL6hY_ca08ebfb2da647f68db41630637e400b.png</x:v>
      </x:c>
      <x:c r="W21" s="8" t="str">
        <x:v>uNb9QFRL6hY_ca08ebfb2da647f68db41630637e400b</x:v>
      </x:c>
    </x:row>
    <x:row r="22" ht="44" customHeight="1">
      <x:c r="A22" s="8" t="str">
        <x:v>G184</x:v>
      </x:c>
      <x:c r="B22" s="8" t="str">
        <x:v>uNb9QFRL6hY</x:v>
      </x:c>
      <x:c r="C22" s="8" t="n">
        <x:v>88</x:v>
      </x:c>
      <x:c r="D22" s="12" t="str">
        <x:v>待审</x:v>
      </x:c>
      <x:c r="E22" s="12" t="str">
        <x:v>未定</x:v>
      </x:c>
      <x:c r="F22" s="12" t="n">
        <x:v>15</x:v>
      </x:c>
      <x:c r="G22" s="12" t="str">
        <x:v>全部历史</x:v>
      </x:c>
      <x:c r="H22" s="8" t="n">
        <x:v>5</x:v>
      </x:c>
      <x:c r="I22" s="8" t="n">
        <x:v>5</x:v>
      </x:c>
      <x:c r="J22" s="8" t="n">
        <x:v>14</x:v>
      </x:c>
      <x:c r="K22" s="8" t="n">
        <x:v>0</x:v>
      </x:c>
      <x:c r="L22" s="8" t="n">
        <x:f>MAX(0,F22-IF(G22="当前19人",I22,H22))</x:f>
        <x:v>10</x:v>
      </x:c>
      <x:c r="M22" s="8" t="n">
        <x:f>IF(OR(D22="候选纳入",D22="特殊对照"),L22,0)</x:f>
        <x:v>0</x:v>
      </x:c>
      <x:c r="N22" s="8" t="str">
        <x:f>IF(L22&lt;=J22,"可达","人数不足")</x:f>
        <x:v>可达</x:v>
      </x:c>
      <x:c r="O22" s="8" t="str">
        <x:f>IF(AND(F22&lt;15,E22&lt;&gt;"审查确认简单"),"需确认简单","")</x:f>
      </x:c>
      <x:c r="P22" s="8" t="str">
        <x:v>卫浴</x:v>
      </x:c>
      <x:c r="Q22" s="8" t="str">
        <x:v>早期争议复核导出.user_type</x:v>
      </x:c>
      <x:c r="R22" s="8" t="str">
        <x:v>优先审查目标（未选定）</x:v>
      </x:c>
      <x:c r="S22" s="8" t="str">
        <x:v>50、60号均有23人；26、66、88各有5人，具备双源和低成本补齐条件。</x:v>
      </x:c>
      <x:c r="T22" s="8" t="str">
        <x:v>两个厕位分别隔门，不能因同时可见合并</x:v>
      </x:c>
      <x:c r="U22" s="8" t="str">
        <x:v>67主空间与其余不同；排除67后的8图组仍待确认。原main_visual_alignment待定；高难度不自动等于OOS。</x:v>
      </x:c>
      <x:c r="V22" s="8" t="str">
        <x:v>https://raw.githubusercontent.com/Sparkling-Flames/3D_Manhattan_label/844a4694627e1eacc6bfb48911897335e48ecc17/data/mp3d_layout/test/img/uNb9QFRL6hY_fd8d4da92ec14b668ed3d2986616bd14.png</x:v>
      </x:c>
      <x:c r="W22" s="8" t="str">
        <x:v>uNb9QFRL6hY_fd8d4da92ec14b668ed3d2986616bd14</x:v>
      </x:c>
    </x:row>
    <x:row r="23" ht="44" customHeight="1">
      <x:c r="A23" s="8" t="str">
        <x:v>G172</x:v>
      </x:c>
      <x:c r="B23" s="8" t="str">
        <x:v>uNb9QFRL6hY</x:v>
      </x:c>
      <x:c r="C23" s="8" t="n">
        <x:v>1</x:v>
      </x:c>
      <x:c r="D23" s="12" t="str">
        <x:v>待审</x:v>
      </x:c>
      <x:c r="E23" s="12" t="str">
        <x:v>未定</x:v>
      </x:c>
      <x:c r="F23" s="12" t="n">
        <x:v>15</x:v>
      </x:c>
      <x:c r="G23" s="12" t="str">
        <x:v>全部历史</x:v>
      </x:c>
      <x:c r="H23" s="8" t="n">
        <x:v>0</x:v>
      </x:c>
      <x:c r="I23" s="8" t="n">
        <x:v>0</x:v>
      </x:c>
      <x:c r="J23" s="8" t="n">
        <x:v>19</x:v>
      </x:c>
      <x:c r="K23" s="8" t="n">
        <x:v>0</x:v>
      </x:c>
      <x:c r="L23" s="8" t="n">
        <x:f>MAX(0,F23-IF(G23="当前19人",I23,H23))</x:f>
        <x:v>15</x:v>
      </x:c>
      <x:c r="M23" s="8" t="n">
        <x:f>IF(OR(D23="候选纳入",D23="特殊对照"),L23,0)</x:f>
        <x:v>0</x:v>
      </x:c>
      <x:c r="N23" s="8" t="str">
        <x:f>IF(L23&lt;=J23,"可达","人数不足")</x:f>
        <x:v>可达</x:v>
      </x:c>
      <x:c r="O23" s="8" t="str">
        <x:f>IF(AND(F23&lt;15,E23&lt;&gt;"审查确认简单"),"需确认简单","")</x:f>
      </x:c>
      <x:c r="P23" s="8" t="str">
        <x:v>起居与休闲</x:v>
      </x:c>
      <x:c r="Q23" s="8" t="str">
        <x:v>早期争议复核导出.user_type</x:v>
      </x:c>
      <x:c r="R23" s="8" t="str">
        <x:v>替代/特殊视点，另审</x:v>
      </x:c>
      <x:c r="S23" s="8" t="str">
        <x:v>45号已有23人；可从中心、钢琴、壁炉、镜墙等不同信息条件选新视点，避免只增加卧室。</x:v>
      </x:c>
      <x:c r="T23" s="8" t="str">
        <x:v>近外门及柱边，沙发背遮挡</x:v>
      </x:c>
      <x:c r="U23" s="8" t="str">
        <x:v>71门洞交界应单列；内部子集仍未正式确认。40存在Manual/Semi历史，需要人员级暴露核对。</x:v>
      </x:c>
      <x:c r="V23" s="8" t="str">
        <x:v>https://raw.githubusercontent.com/Sparkling-Flames/3D_Manhattan_label/844a4694627e1eacc6bfb48911897335e48ecc17/data/mp3d_layout/test/img/uNb9QFRL6hY_00b4950b469b4520b29f895aa029419c.png</x:v>
      </x:c>
      <x:c r="W23" s="8" t="str">
        <x:v>uNb9QFRL6hY_00b4950b469b4520b29f895aa029419c</x:v>
      </x:c>
    </x:row>
    <x:row r="24" ht="44" customHeight="1">
      <x:c r="A24" s="8" t="str">
        <x:v>G172</x:v>
      </x:c>
      <x:c r="B24" s="8" t="str">
        <x:v>uNb9QFRL6hY</x:v>
      </x:c>
      <x:c r="C24" s="8" t="n">
        <x:v>3</x:v>
      </x:c>
      <x:c r="D24" s="12" t="str">
        <x:v>待审</x:v>
      </x:c>
      <x:c r="E24" s="12" t="str">
        <x:v>未定</x:v>
      </x:c>
      <x:c r="F24" s="12" t="n">
        <x:v>15</x:v>
      </x:c>
      <x:c r="G24" s="12" t="str">
        <x:v>全部历史</x:v>
      </x:c>
      <x:c r="H24" s="8" t="n">
        <x:v>0</x:v>
      </x:c>
      <x:c r="I24" s="8" t="n">
        <x:v>0</x:v>
      </x:c>
      <x:c r="J24" s="8" t="n">
        <x:v>19</x:v>
      </x:c>
      <x:c r="K24" s="8" t="n">
        <x:v>0</x:v>
      </x:c>
      <x:c r="L24" s="8" t="n">
        <x:f>MAX(0,F24-IF(G24="当前19人",I24,H24))</x:f>
        <x:v>15</x:v>
      </x:c>
      <x:c r="M24" s="8" t="n">
        <x:f>IF(OR(D24="候选纳入",D24="特殊对照"),L24,0)</x:f>
        <x:v>0</x:v>
      </x:c>
      <x:c r="N24" s="8" t="str">
        <x:f>IF(L24&lt;=J24,"可达","人数不足")</x:f>
        <x:v>可达</x:v>
      </x:c>
      <x:c r="O24" s="8" t="str">
        <x:f>IF(AND(F24&lt;15,E24&lt;&gt;"审查确认简单"),"需确认简单","")</x:f>
      </x:c>
      <x:c r="P24" s="8" t="str">
        <x:v>起居与休闲</x:v>
      </x:c>
      <x:c r="Q24" s="8" t="str">
        <x:v>早期争议复核导出.user_type</x:v>
      </x:c>
      <x:c r="R24" s="8" t="str">
        <x:v>优先审查目标（未选定）</x:v>
      </x:c>
      <x:c r="S24" s="8" t="str">
        <x:v>45号已有23人；可从中心、钢琴、壁炉、镜墙等不同信息条件选新视点，避免只增加卧室。</x:v>
      </x:c>
      <x:c r="T24" s="8" t="str">
        <x:v>入口短阶可见，镜面应与真实开口分开</x:v>
      </x:c>
      <x:c r="U24" s="8" t="str">
        <x:v>71门洞交界应单列；内部子集仍未正式确认。40存在Manual/Semi历史，需要人员级暴露核对。</x:v>
      </x:c>
      <x:c r="V24" s="8" t="str">
        <x:v>https://raw.githubusercontent.com/Sparkling-Flames/3D_Manhattan_label/844a4694627e1eacc6bfb48911897335e48ecc17/data/mp3d_layout/test/img/uNb9QFRL6hY_05285f9bc0234526bf0f6362679e38d0.png</x:v>
      </x:c>
      <x:c r="W24" s="8" t="str">
        <x:v>uNb9QFRL6hY_05285f9bc0234526bf0f6362679e38d0</x:v>
      </x:c>
    </x:row>
    <x:row r="25" ht="44" customHeight="1">
      <x:c r="A25" s="8" t="str">
        <x:v>G172</x:v>
      </x:c>
      <x:c r="B25" s="8" t="str">
        <x:v>uNb9QFRL6hY</x:v>
      </x:c>
      <x:c r="C25" s="8" t="n">
        <x:v>4</x:v>
      </x:c>
      <x:c r="D25" s="12" t="str">
        <x:v>待审</x:v>
      </x:c>
      <x:c r="E25" s="12" t="str">
        <x:v>未定</x:v>
      </x:c>
      <x:c r="F25" s="12" t="n">
        <x:v>15</x:v>
      </x:c>
      <x:c r="G25" s="12" t="str">
        <x:v>全部历史</x:v>
      </x:c>
      <x:c r="H25" s="8" t="n">
        <x:v>0</x:v>
      </x:c>
      <x:c r="I25" s="8" t="n">
        <x:v>0</x:v>
      </x:c>
      <x:c r="J25" s="8" t="n">
        <x:v>19</x:v>
      </x:c>
      <x:c r="K25" s="8" t="n">
        <x:v>0</x:v>
      </x:c>
      <x:c r="L25" s="8" t="n">
        <x:f>MAX(0,F25-IF(G25="当前19人",I25,H25))</x:f>
        <x:v>15</x:v>
      </x:c>
      <x:c r="M25" s="8" t="n">
        <x:f>IF(OR(D25="候选纳入",D25="特殊对照"),L25,0)</x:f>
        <x:v>0</x:v>
      </x:c>
      <x:c r="N25" s="8" t="str">
        <x:f>IF(L25&lt;=J25,"可达","人数不足")</x:f>
        <x:v>可达</x:v>
      </x:c>
      <x:c r="O25" s="8" t="str">
        <x:f>IF(AND(F25&lt;15,E25&lt;&gt;"审查确认简单"),"需确认简单","")</x:f>
      </x:c>
      <x:c r="P25" s="8" t="str">
        <x:v>起居与休闲</x:v>
      </x:c>
      <x:c r="Q25" s="8" t="str">
        <x:v>早期争议复核导出.user_type</x:v>
      </x:c>
      <x:c r="R25" s="8" t="str">
        <x:v>替代/特殊视点，另审</x:v>
      </x:c>
      <x:c r="S25" s="8" t="str">
        <x:v>45号已有23人；可从中心、钢琴、壁炉、镜墙等不同信息条件选新视点，避免只增加卧室。</x:v>
      </x:c>
      <x:c r="T25" s="8" t="str">
        <x:v>近镜面及入口侧墙，远端信息较弱</x:v>
      </x:c>
      <x:c r="U25" s="8" t="str">
        <x:v>71门洞交界应单列；内部子集仍未正式确认。40存在Manual/Semi历史，需要人员级暴露核对。</x:v>
      </x:c>
      <x:c r="V25" s="8" t="str">
        <x:v>https://raw.githubusercontent.com/Sparkling-Flames/3D_Manhattan_label/844a4694627e1eacc6bfb48911897335e48ecc17/data/mp3d_layout/test/img/uNb9QFRL6hY_068fb0d52d01455c96fa23659c373bf8.png</x:v>
      </x:c>
      <x:c r="W25" s="8" t="str">
        <x:v>uNb9QFRL6hY_068fb0d52d01455c96fa23659c373bf8</x:v>
      </x:c>
    </x:row>
    <x:row r="26" ht="44" customHeight="1">
      <x:c r="A26" s="8" t="str">
        <x:v>G172</x:v>
      </x:c>
      <x:c r="B26" s="8" t="str">
        <x:v>uNb9QFRL6hY</x:v>
      </x:c>
      <x:c r="C26" s="8" t="n">
        <x:v>9</x:v>
      </x:c>
      <x:c r="D26" s="12" t="str">
        <x:v>待审</x:v>
      </x:c>
      <x:c r="E26" s="12" t="str">
        <x:v>未定</x:v>
      </x:c>
      <x:c r="F26" s="12" t="n">
        <x:v>15</x:v>
      </x:c>
      <x:c r="G26" s="12" t="str">
        <x:v>全部历史</x:v>
      </x:c>
      <x:c r="H26" s="8" t="n">
        <x:v>0</x:v>
      </x:c>
      <x:c r="I26" s="8" t="n">
        <x:v>0</x:v>
      </x:c>
      <x:c r="J26" s="8" t="n">
        <x:v>19</x:v>
      </x:c>
      <x:c r="K26" s="8" t="n">
        <x:v>0</x:v>
      </x:c>
      <x:c r="L26" s="8" t="n">
        <x:f>MAX(0,F26-IF(G26="当前19人",I26,H26))</x:f>
        <x:v>15</x:v>
      </x:c>
      <x:c r="M26" s="8" t="n">
        <x:f>IF(OR(D26="候选纳入",D26="特殊对照"),L26,0)</x:f>
        <x:v>0</x:v>
      </x:c>
      <x:c r="N26" s="8" t="str">
        <x:f>IF(L26&lt;=J26,"可达","人数不足")</x:f>
        <x:v>可达</x:v>
      </x:c>
      <x:c r="O26" s="8" t="str">
        <x:f>IF(AND(F26&lt;15,E26&lt;&gt;"审查确认简单"),"需确认简单","")</x:f>
      </x:c>
      <x:c r="P26" s="8" t="str">
        <x:v>起居与休闲</x:v>
      </x:c>
      <x:c r="Q26" s="8" t="str">
        <x:v>早期争议复核导出.user_type</x:v>
      </x:c>
      <x:c r="R26" s="8" t="str">
        <x:v>优先审查目标（未选定）</x:v>
      </x:c>
      <x:c r="S26" s="8" t="str">
        <x:v>45号已有23人；可从中心、钢琴、壁炉、镜墙等不同信息条件选新视点，避免只增加卧室。</x:v>
      </x:c>
      <x:c r="T26" s="8" t="str">
        <x:v>钢琴及近侧镜面占据主要视线，另一端较远</x:v>
      </x:c>
      <x:c r="U26" s="8" t="str">
        <x:v>71门洞交界应单列；内部子集仍未正式确认。40存在Manual/Semi历史，需要人员级暴露核对。</x:v>
      </x:c>
      <x:c r="V26" s="8" t="str">
        <x:v>https://raw.githubusercontent.com/Sparkling-Flames/3D_Manhattan_label/844a4694627e1eacc6bfb48911897335e48ecc17/data/mp3d_layout/test/img/uNb9QFRL6hY_13a430466eb64e2087e7fb5acde7a398.png</x:v>
      </x:c>
      <x:c r="W26" s="8" t="str">
        <x:v>uNb9QFRL6hY_13a430466eb64e2087e7fb5acde7a398</x:v>
      </x:c>
    </x:row>
    <x:row r="27" ht="44" customHeight="1">
      <x:c r="A27" s="8" t="str">
        <x:v>G172</x:v>
      </x:c>
      <x:c r="B27" s="8" t="str">
        <x:v>uNb9QFRL6hY</x:v>
      </x:c>
      <x:c r="C27" s="8" t="n">
        <x:v>12</x:v>
      </x:c>
      <x:c r="D27" s="12" t="str">
        <x:v>待审</x:v>
      </x:c>
      <x:c r="E27" s="12" t="str">
        <x:v>未定</x:v>
      </x:c>
      <x:c r="F27" s="12" t="n">
        <x:v>15</x:v>
      </x:c>
      <x:c r="G27" s="12" t="str">
        <x:v>全部历史</x:v>
      </x:c>
      <x:c r="H27" s="8" t="n">
        <x:v>0</x:v>
      </x:c>
      <x:c r="I27" s="8" t="n">
        <x:v>0</x:v>
      </x:c>
      <x:c r="J27" s="8" t="n">
        <x:v>19</x:v>
      </x:c>
      <x:c r="K27" s="8" t="n">
        <x:v>0</x:v>
      </x:c>
      <x:c r="L27" s="8" t="n">
        <x:f>MAX(0,F27-IF(G27="当前19人",I27,H27))</x:f>
        <x:v>15</x:v>
      </x:c>
      <x:c r="M27" s="8" t="n">
        <x:f>IF(OR(D27="候选纳入",D27="特殊对照"),L27,0)</x:f>
        <x:v>0</x:v>
      </x:c>
      <x:c r="N27" s="8" t="str">
        <x:f>IF(L27&lt;=J27,"可达","人数不足")</x:f>
        <x:v>可达</x:v>
      </x:c>
      <x:c r="O27" s="8" t="str">
        <x:f>IF(AND(F27&lt;15,E27&lt;&gt;"审查确认简单"),"需确认简单","")</x:f>
      </x:c>
      <x:c r="P27" s="8" t="str">
        <x:v>起居与休闲</x:v>
      </x:c>
      <x:c r="Q27" s="8" t="str">
        <x:v>早期争议复核导出.user_type</x:v>
      </x:c>
      <x:c r="R27" s="8" t="str">
        <x:v>优先审查目标（未选定）</x:v>
      </x:c>
      <x:c r="S27" s="8" t="str">
        <x:v>45号已有23人；可从中心、钢琴、壁炉、镜墙等不同信息条件选新视点，避免只增加卧室。</x:v>
      </x:c>
      <x:c r="T27" s="8" t="str">
        <x:v>近侧镜面及入口，远角遮挡</x:v>
      </x:c>
      <x:c r="U27" s="8" t="str">
        <x:v>71门洞交界应单列；内部子集仍未正式确认。40存在Manual/Semi历史，需要人员级暴露核对。</x:v>
      </x:c>
      <x:c r="V27" s="8" t="str">
        <x:v>https://raw.githubusercontent.com/Sparkling-Flames/3D_Manhattan_label/844a4694627e1eacc6bfb48911897335e48ecc17/data/mp3d_layout/test/img/uNb9QFRL6hY_1b7bf6673ca74809a141b57da1d6357f.png</x:v>
      </x:c>
      <x:c r="W27" s="8" t="str">
        <x:v>uNb9QFRL6hY_1b7bf6673ca74809a141b57da1d6357f</x:v>
      </x:c>
    </x:row>
    <x:row r="28" ht="44" customHeight="1">
      <x:c r="A28" s="8" t="str">
        <x:v>G172</x:v>
      </x:c>
      <x:c r="B28" s="8" t="str">
        <x:v>uNb9QFRL6hY</x:v>
      </x:c>
      <x:c r="C28" s="8" t="n">
        <x:v>20</x:v>
      </x:c>
      <x:c r="D28" s="12" t="str">
        <x:v>待审</x:v>
      </x:c>
      <x:c r="E28" s="12" t="str">
        <x:v>未定</x:v>
      </x:c>
      <x:c r="F28" s="12" t="n">
        <x:v>15</x:v>
      </x:c>
      <x:c r="G28" s="12" t="str">
        <x:v>全部历史</x:v>
      </x:c>
      <x:c r="H28" s="8" t="n">
        <x:v>0</x:v>
      </x:c>
      <x:c r="I28" s="8" t="n">
        <x:v>0</x:v>
      </x:c>
      <x:c r="J28" s="8" t="n">
        <x:v>19</x:v>
      </x:c>
      <x:c r="K28" s="8" t="n">
        <x:v>0</x:v>
      </x:c>
      <x:c r="L28" s="8" t="n">
        <x:f>MAX(0,F28-IF(G28="当前19人",I28,H28))</x:f>
        <x:v>15</x:v>
      </x:c>
      <x:c r="M28" s="8" t="n">
        <x:f>IF(OR(D28="候选纳入",D28="特殊对照"),L28,0)</x:f>
        <x:v>0</x:v>
      </x:c>
      <x:c r="N28" s="8" t="str">
        <x:f>IF(L28&lt;=J28,"可达","人数不足")</x:f>
        <x:v>可达</x:v>
      </x:c>
      <x:c r="O28" s="8" t="str">
        <x:f>IF(AND(F28&lt;15,E28&lt;&gt;"审查确认简单"),"需确认简单","")</x:f>
      </x:c>
      <x:c r="P28" s="8" t="str">
        <x:v>起居与休闲</x:v>
      </x:c>
      <x:c r="Q28" s="8" t="str">
        <x:v>早期争议复核导出.user_type</x:v>
      </x:c>
      <x:c r="R28" s="8" t="str">
        <x:v>优先审查目标（未选定）</x:v>
      </x:c>
      <x:c r="S28" s="8" t="str">
        <x:v>45号已有23人；可从中心、钢琴、壁炉、镜墙等不同信息条件选新视点，避免只增加卧室。</x:v>
      </x:c>
      <x:c r="T28" s="8" t="str">
        <x:v>镜面及沙发遮挡</x:v>
      </x:c>
      <x:c r="U28" s="8" t="str">
        <x:v>71门洞交界应单列；内部子集仍未正式确认。40存在Manual/Semi历史，需要人员级暴露核对。</x:v>
      </x:c>
      <x:c r="V28" s="8" t="str">
        <x:v>https://raw.githubusercontent.com/Sparkling-Flames/3D_Manhattan_label/844a4694627e1eacc6bfb48911897335e48ecc17/data/mp3d_layout/test/img/uNb9QFRL6hY_3450b3accb584493bf13be8e9554dbea.png</x:v>
      </x:c>
      <x:c r="W28" s="8" t="str">
        <x:v>uNb9QFRL6hY_3450b3accb584493bf13be8e9554dbea</x:v>
      </x:c>
    </x:row>
    <x:row r="29" ht="44" customHeight="1">
      <x:c r="A29" s="8" t="str">
        <x:v>G172</x:v>
      </x:c>
      <x:c r="B29" s="8" t="str">
        <x:v>uNb9QFRL6hY</x:v>
      </x:c>
      <x:c r="C29" s="8" t="n">
        <x:v>40</x:v>
      </x:c>
      <x:c r="D29" s="12" t="str">
        <x:v>待审</x:v>
      </x:c>
      <x:c r="E29" s="12" t="str">
        <x:v>未定</x:v>
      </x:c>
      <x:c r="F29" s="12" t="n">
        <x:v>15</x:v>
      </x:c>
      <x:c r="G29" s="12" t="str">
        <x:v>全部历史</x:v>
      </x:c>
      <x:c r="H29" s="8" t="n">
        <x:v>5</x:v>
      </x:c>
      <x:c r="I29" s="8" t="n">
        <x:v>5</x:v>
      </x:c>
      <x:c r="J29" s="8" t="n">
        <x:v>11</x:v>
      </x:c>
      <x:c r="K29" s="8" t="n">
        <x:v>4</x:v>
      </x:c>
      <x:c r="L29" s="8" t="n">
        <x:f>MAX(0,F29-IF(G29="当前19人",I29,H29))</x:f>
        <x:v>10</x:v>
      </x:c>
      <x:c r="M29" s="8" t="n">
        <x:f>IF(OR(D29="候选纳入",D29="特殊对照"),L29,0)</x:f>
        <x:v>0</x:v>
      </x:c>
      <x:c r="N29" s="8" t="str">
        <x:f>IF(L29&lt;=J29,"可达","人数不足")</x:f>
        <x:v>可达</x:v>
      </x:c>
      <x:c r="O29" s="8" t="str">
        <x:f>IF(AND(F29&lt;15,E29&lt;&gt;"审查确认简单"),"需确认简单","")</x:f>
      </x:c>
      <x:c r="P29" s="8" t="str">
        <x:v>起居与休闲</x:v>
      </x:c>
      <x:c r="Q29" s="8" t="str">
        <x:v>早期争议复核导出.user_type</x:v>
      </x:c>
      <x:c r="R29" s="8" t="str">
        <x:v>替代/特殊视点，另审</x:v>
      </x:c>
      <x:c r="S29" s="8" t="str">
        <x:v>45号已有23人；可从中心、钢琴、壁炉、镜墙等不同信息条件选新视点，避免只增加卧室。</x:v>
      </x:c>
      <x:c r="T29" s="8" t="str">
        <x:v>靠外门，柱边与沙发背遮挡</x:v>
      </x:c>
      <x:c r="U29" s="8" t="str">
        <x:v>71门洞交界应单列；内部子集仍未正式确认。40存在Manual/Semi历史，需要人员级暴露核对。</x:v>
      </x:c>
      <x:c r="V29" s="8" t="str">
        <x:v>https://raw.githubusercontent.com/Sparkling-Flames/3D_Manhattan_label/844a4694627e1eacc6bfb48911897335e48ecc17/data/mp3d_layout/test/img/uNb9QFRL6hY_748279b5d6e740c4b2cba9fc78d6fc62.png</x:v>
      </x:c>
      <x:c r="W29" s="8" t="str">
        <x:v>uNb9QFRL6hY_748279b5d6e740c4b2cba9fc78d6fc62</x:v>
      </x:c>
    </x:row>
    <x:row r="30" ht="44" customHeight="1">
      <x:c r="A30" s="8" t="str">
        <x:v>G172</x:v>
      </x:c>
      <x:c r="B30" s="8" t="str">
        <x:v>uNb9QFRL6hY</x:v>
      </x:c>
      <x:c r="C30" s="8" t="n">
        <x:v>43</x:v>
      </x:c>
      <x:c r="D30" s="12" t="str">
        <x:v>待审</x:v>
      </x:c>
      <x:c r="E30" s="12" t="str">
        <x:v>未定</x:v>
      </x:c>
      <x:c r="F30" s="12" t="n">
        <x:v>15</x:v>
      </x:c>
      <x:c r="G30" s="12" t="str">
        <x:v>全部历史</x:v>
      </x:c>
      <x:c r="H30" s="8" t="n">
        <x:v>0</x:v>
      </x:c>
      <x:c r="I30" s="8" t="n">
        <x:v>0</x:v>
      </x:c>
      <x:c r="J30" s="8" t="n">
        <x:v>19</x:v>
      </x:c>
      <x:c r="K30" s="8" t="n">
        <x:v>0</x:v>
      </x:c>
      <x:c r="L30" s="8" t="n">
        <x:f>MAX(0,F30-IF(G30="当前19人",I30,H30))</x:f>
        <x:v>15</x:v>
      </x:c>
      <x:c r="M30" s="8" t="n">
        <x:f>IF(OR(D30="候选纳入",D30="特殊对照"),L30,0)</x:f>
        <x:v>0</x:v>
      </x:c>
      <x:c r="N30" s="8" t="str">
        <x:f>IF(L30&lt;=J30,"可达","人数不足")</x:f>
        <x:v>可达</x:v>
      </x:c>
      <x:c r="O30" s="8" t="str">
        <x:f>IF(AND(F30&lt;15,E30&lt;&gt;"审查确认简单"),"需确认简单","")</x:f>
      </x:c>
      <x:c r="P30" s="8" t="str">
        <x:v>起居与休闲</x:v>
      </x:c>
      <x:c r="Q30" s="8" t="str">
        <x:v>早期争议复核导出.user_type</x:v>
      </x:c>
      <x:c r="R30" s="8" t="str">
        <x:v>优先审查目标（未选定）</x:v>
      </x:c>
      <x:c r="S30" s="8" t="str">
        <x:v>45号已有23人；可从中心、钢琴、壁炉、镜墙等不同信息条件选新视点，避免只增加卧室。</x:v>
      </x:c>
      <x:c r="T30" s="8" t="str">
        <x:v>钢琴遮挡较重，沙发端远</x:v>
      </x:c>
      <x:c r="U30" s="8" t="str">
        <x:v>71门洞交界应单列；内部子集仍未正式确认。40存在Manual/Semi历史，需要人员级暴露核对。</x:v>
      </x:c>
      <x:c r="V30" s="8" t="str">
        <x:v>https://raw.githubusercontent.com/Sparkling-Flames/3D_Manhattan_label/844a4694627e1eacc6bfb48911897335e48ecc17/data/mp3d_layout/test/img/uNb9QFRL6hY_84722e58b32f4646acc12614994f835b.png</x:v>
      </x:c>
      <x:c r="W30" s="8" t="str">
        <x:v>uNb9QFRL6hY_84722e58b32f4646acc12614994f835b</x:v>
      </x:c>
    </x:row>
    <x:row r="31" ht="44" customHeight="1">
      <x:c r="A31" s="8" t="str">
        <x:v>G172</x:v>
      </x:c>
      <x:c r="B31" s="8" t="str">
        <x:v>uNb9QFRL6hY</x:v>
      </x:c>
      <x:c r="C31" s="8" t="n">
        <x:v>45</x:v>
      </x:c>
      <x:c r="D31" s="12" t="str">
        <x:v>待审</x:v>
      </x:c>
      <x:c r="E31" s="12" t="str">
        <x:v>未定</x:v>
      </x:c>
      <x:c r="F31" s="12" t="n">
        <x:v>15</x:v>
      </x:c>
      <x:c r="G31" s="12" t="str">
        <x:v>全部历史</x:v>
      </x:c>
      <x:c r="H31" s="8" t="n">
        <x:v>23</x:v>
      </x:c>
      <x:c r="I31" s="8" t="n">
        <x:v>19</x:v>
      </x:c>
      <x:c r="J31" s="8" t="n">
        <x:v>0</x:v>
      </x:c>
      <x:c r="K31" s="8" t="n">
        <x:v>0</x:v>
      </x:c>
      <x:c r="L31" s="8" t="n">
        <x:f>MAX(0,F31-IF(G31="当前19人",I31,H31))</x:f>
        <x:v>0</x:v>
      </x:c>
      <x:c r="M31" s="8" t="n">
        <x:f>IF(OR(D31="候选纳入",D31="特殊对照"),L31,0)</x:f>
        <x:v>0</x:v>
      </x:c>
      <x:c r="N31" s="8" t="str">
        <x:f>IF(L31&lt;=J31,"可达","人数不足")</x:f>
        <x:v>可达</x:v>
      </x:c>
      <x:c r="O31" s="8" t="str">
        <x:f>IF(AND(F31&lt;15,E31&lt;&gt;"审查确认简单"),"需确认简单","")</x:f>
      </x:c>
      <x:c r="P31" s="8" t="str">
        <x:v>起居与休闲</x:v>
      </x:c>
      <x:c r="Q31" s="8" t="str">
        <x:v>早期争议复核导出.user_type</x:v>
      </x:c>
      <x:c r="R31" s="8" t="str">
        <x:v>已有来源，优先复用</x:v>
      </x:c>
      <x:c r="S31" s="8" t="str">
        <x:v>45号已有23人；可从中心、钢琴、壁炉、镜墙等不同信息条件选新视点，避免只增加卧室。</x:v>
      </x:c>
      <x:c r="T31" s="8" t="str">
        <x:v>两列沙发墙脚遮挡</x:v>
      </x:c>
      <x:c r="U31" s="8" t="str">
        <x:v>71门洞交界应单列；内部子集仍未正式确认。40存在Manual/Semi历史，需要人员级暴露核对。</x:v>
      </x:c>
      <x:c r="V31" s="8" t="str">
        <x:v>https://raw.githubusercontent.com/Sparkling-Flames/3D_Manhattan_label/844a4694627e1eacc6bfb48911897335e48ecc17/data/mp3d_layout/test/img/uNb9QFRL6hY_8b6f1b0b025848b482e747ab6a027b97.png</x:v>
      </x:c>
      <x:c r="W31" s="8" t="str">
        <x:v>uNb9QFRL6hY_8b6f1b0b025848b482e747ab6a027b97</x:v>
      </x:c>
    </x:row>
    <x:row r="32" ht="44" customHeight="1">
      <x:c r="A32" s="8" t="str">
        <x:v>G172</x:v>
      </x:c>
      <x:c r="B32" s="8" t="str">
        <x:v>uNb9QFRL6hY</x:v>
      </x:c>
      <x:c r="C32" s="8" t="n">
        <x:v>53</x:v>
      </x:c>
      <x:c r="D32" s="12" t="str">
        <x:v>待审</x:v>
      </x:c>
      <x:c r="E32" s="12" t="str">
        <x:v>未定</x:v>
      </x:c>
      <x:c r="F32" s="12" t="n">
        <x:v>15</x:v>
      </x:c>
      <x:c r="G32" s="12" t="str">
        <x:v>全部历史</x:v>
      </x:c>
      <x:c r="H32" s="8" t="n">
        <x:v>0</x:v>
      </x:c>
      <x:c r="I32" s="8" t="n">
        <x:v>0</x:v>
      </x:c>
      <x:c r="J32" s="8" t="n">
        <x:v>19</x:v>
      </x:c>
      <x:c r="K32" s="8" t="n">
        <x:v>0</x:v>
      </x:c>
      <x:c r="L32" s="8" t="n">
        <x:f>MAX(0,F32-IF(G32="当前19人",I32,H32))</x:f>
        <x:v>15</x:v>
      </x:c>
      <x:c r="M32" s="8" t="n">
        <x:f>IF(OR(D32="候选纳入",D32="特殊对照"),L32,0)</x:f>
        <x:v>0</x:v>
      </x:c>
      <x:c r="N32" s="8" t="str">
        <x:f>IF(L32&lt;=J32,"可达","人数不足")</x:f>
        <x:v>可达</x:v>
      </x:c>
      <x:c r="O32" s="8" t="str">
        <x:f>IF(AND(F32&lt;15,E32&lt;&gt;"审查确认简单"),"需确认简单","")</x:f>
      </x:c>
      <x:c r="P32" s="8" t="str">
        <x:v>起居与休闲</x:v>
      </x:c>
      <x:c r="Q32" s="8" t="str">
        <x:v>早期争议复核导出.user_type</x:v>
      </x:c>
      <x:c r="R32" s="8" t="str">
        <x:v>优先审查目标（未选定）</x:v>
      </x:c>
      <x:c r="S32" s="8" t="str">
        <x:v>45号已有23人；可从中心、钢琴、壁炉、镜墙等不同信息条件选新视点，避免只增加卧室。</x:v>
      </x:c>
      <x:c r="T32" s="8" t="str">
        <x:v>贴近壁炉，侧镜面反射明显</x:v>
      </x:c>
      <x:c r="U32" s="8" t="str">
        <x:v>71门洞交界应单列；内部子集仍未正式确认。40存在Manual/Semi历史，需要人员级暴露核对。</x:v>
      </x:c>
      <x:c r="V32" s="8" t="str">
        <x:v>https://raw.githubusercontent.com/Sparkling-Flames/3D_Manhattan_label/844a4694627e1eacc6bfb48911897335e48ecc17/data/mp3d_layout/test/img/uNb9QFRL6hY_a728d2eef41b449f82357899de802dd3.png</x:v>
      </x:c>
      <x:c r="W32" s="8" t="str">
        <x:v>uNb9QFRL6hY_a728d2eef41b449f82357899de802dd3</x:v>
      </x:c>
    </x:row>
    <x:row r="33" ht="44" customHeight="1">
      <x:c r="A33" s="8" t="str">
        <x:v>G172</x:v>
      </x:c>
      <x:c r="B33" s="8" t="str">
        <x:v>uNb9QFRL6hY</x:v>
      </x:c>
      <x:c r="C33" s="8" t="n">
        <x:v>58</x:v>
      </x:c>
      <x:c r="D33" s="12" t="str">
        <x:v>待审</x:v>
      </x:c>
      <x:c r="E33" s="12" t="str">
        <x:v>未定</x:v>
      </x:c>
      <x:c r="F33" s="12" t="n">
        <x:v>15</x:v>
      </x:c>
      <x:c r="G33" s="12" t="str">
        <x:v>全部历史</x:v>
      </x:c>
      <x:c r="H33" s="8" t="n">
        <x:v>0</x:v>
      </x:c>
      <x:c r="I33" s="8" t="n">
        <x:v>0</x:v>
      </x:c>
      <x:c r="J33" s="8" t="n">
        <x:v>19</x:v>
      </x:c>
      <x:c r="K33" s="8" t="n">
        <x:v>0</x:v>
      </x:c>
      <x:c r="L33" s="8" t="n">
        <x:f>MAX(0,F33-IF(G33="当前19人",I33,H33))</x:f>
        <x:v>15</x:v>
      </x:c>
      <x:c r="M33" s="8" t="n">
        <x:f>IF(OR(D33="候选纳入",D33="特殊对照"),L33,0)</x:f>
        <x:v>0</x:v>
      </x:c>
      <x:c r="N33" s="8" t="str">
        <x:f>IF(L33&lt;=J33,"可达","人数不足")</x:f>
        <x:v>可达</x:v>
      </x:c>
      <x:c r="O33" s="8" t="str">
        <x:f>IF(AND(F33&lt;15,E33&lt;&gt;"审查确认简单"),"需确认简单","")</x:f>
      </x:c>
      <x:c r="P33" s="8" t="str">
        <x:v>起居与休闲</x:v>
      </x:c>
      <x:c r="Q33" s="8" t="str">
        <x:v>早期争议复核导出.user_type</x:v>
      </x:c>
      <x:c r="R33" s="8" t="str">
        <x:v>优先审查目标（未选定）</x:v>
      </x:c>
      <x:c r="S33" s="8" t="str">
        <x:v>45号已有23人；可从中心、钢琴、壁炉、镜墙等不同信息条件选新视点，避免只增加卧室。</x:v>
      </x:c>
      <x:c r="T33" s="8" t="str">
        <x:v>钢琴遮挡，主厅仍广泛可见</x:v>
      </x:c>
      <x:c r="U33" s="8" t="str">
        <x:v>71门洞交界应单列；内部子集仍未正式确认。40存在Manual/Semi历史，需要人员级暴露核对。</x:v>
      </x:c>
      <x:c r="V33" s="8" t="str">
        <x:v>https://raw.githubusercontent.com/Sparkling-Flames/3D_Manhattan_label/844a4694627e1eacc6bfb48911897335e48ecc17/data/mp3d_layout/test/img/uNb9QFRL6hY_b73ae36f994747e196380b1cb71cf407.png</x:v>
      </x:c>
      <x:c r="W33" s="8" t="str">
        <x:v>uNb9QFRL6hY_b73ae36f994747e196380b1cb71cf407</x:v>
      </x:c>
    </x:row>
    <x:row r="34" ht="44" customHeight="1">
      <x:c r="A34" s="8" t="str">
        <x:v>G172</x:v>
      </x:c>
      <x:c r="B34" s="8" t="str">
        <x:v>uNb9QFRL6hY</x:v>
      </x:c>
      <x:c r="C34" s="8" t="n">
        <x:v>71</x:v>
      </x:c>
      <x:c r="D34" s="12" t="str">
        <x:v>待审</x:v>
      </x:c>
      <x:c r="E34" s="12" t="str">
        <x:v>未定</x:v>
      </x:c>
      <x:c r="F34" s="12" t="n">
        <x:v>15</x:v>
      </x:c>
      <x:c r="G34" s="12" t="str">
        <x:v>全部历史</x:v>
      </x:c>
      <x:c r="H34" s="8" t="n">
        <x:v>0</x:v>
      </x:c>
      <x:c r="I34" s="8" t="n">
        <x:v>0</x:v>
      </x:c>
      <x:c r="J34" s="8" t="n">
        <x:v>19</x:v>
      </x:c>
      <x:c r="K34" s="8" t="n">
        <x:v>0</x:v>
      </x:c>
      <x:c r="L34" s="8" t="n">
        <x:f>MAX(0,F34-IF(G34="当前19人",I34,H34))</x:f>
        <x:v>15</x:v>
      </x:c>
      <x:c r="M34" s="8" t="n">
        <x:f>IF(OR(D34="候选纳入",D34="特殊对照"),L34,0)</x:f>
        <x:v>0</x:v>
      </x:c>
      <x:c r="N34" s="8" t="str">
        <x:f>IF(L34&lt;=J34,"可达","人数不足")</x:f>
        <x:v>可达</x:v>
      </x:c>
      <x:c r="O34" s="8" t="str">
        <x:f>IF(AND(F34&lt;15,E34&lt;&gt;"审查确认简单"),"需确认简单","")</x:f>
      </x:c>
      <x:c r="P34" s="8" t="str">
        <x:v>起居与休闲</x:v>
      </x:c>
      <x:c r="Q34" s="8" t="str">
        <x:v>早期争议复核导出.user_type</x:v>
      </x:c>
      <x:c r="R34" s="8" t="str">
        <x:v>替代/特殊视点，另审</x:v>
      </x:c>
      <x:c r="S34" s="8" t="str">
        <x:v>45号已有23人；可从中心、钢琴、壁炉、镜墙等不同信息条件选新视点，避免只增加卧室。</x:v>
      </x:c>
      <x:c r="T34" s="8" t="str">
        <x:v>贴近高差入口，外通道可见</x:v>
      </x:c>
      <x:c r="U34" s="8" t="str">
        <x:v>71门洞交界应单列；内部子集仍未正式确认。40存在Manual/Semi历史，需要人员级暴露核对。</x:v>
      </x:c>
      <x:c r="V34" s="8" t="str">
        <x:v>https://raw.githubusercontent.com/Sparkling-Flames/3D_Manhattan_label/844a4694627e1eacc6bfb48911897335e48ecc17/data/mp3d_layout/test/img/uNb9QFRL6hY_d11f14ddecbe406681d4980365ea5a43.png</x:v>
      </x:c>
      <x:c r="W34" s="8" t="str">
        <x:v>uNb9QFRL6hY_d11f14ddecbe406681d4980365ea5a43</x:v>
      </x:c>
    </x:row>
    <x:row r="35" ht="44" customHeight="1">
      <x:c r="A35" s="8" t="str">
        <x:v>G047</x:v>
      </x:c>
      <x:c r="B35" s="8" t="str">
        <x:v>S9hNv5qa7GM</x:v>
      </x:c>
      <x:c r="C35" s="8" t="n">
        <x:v>6</x:v>
      </x:c>
      <x:c r="D35" s="12" t="str">
        <x:v>待审</x:v>
      </x:c>
      <x:c r="E35" s="12" t="str">
        <x:v>未定</x:v>
      </x:c>
      <x:c r="F35" s="12" t="n">
        <x:v>15</x:v>
      </x:c>
      <x:c r="G35" s="12" t="str">
        <x:v>全部历史</x:v>
      </x:c>
      <x:c r="H35" s="8" t="n">
        <x:v>0</x:v>
      </x:c>
      <x:c r="I35" s="8" t="n">
        <x:v>0</x:v>
      </x:c>
      <x:c r="J35" s="8" t="n">
        <x:v>19</x:v>
      </x:c>
      <x:c r="K35" s="8" t="n">
        <x:v>0</x:v>
      </x:c>
      <x:c r="L35" s="8" t="n">
        <x:f>MAX(0,F35-IF(G35="当前19人",I35,H35))</x:f>
        <x:v>15</x:v>
      </x:c>
      <x:c r="M35" s="8" t="n">
        <x:f>IF(OR(D35="候选纳入",D35="特殊对照"),L35,0)</x:f>
        <x:v>0</x:v>
      </x:c>
      <x:c r="N35" s="8" t="str">
        <x:f>IF(L35&lt;=J35,"可达","人数不足")</x:f>
        <x:v>可达</x:v>
      </x:c>
      <x:c r="O35" s="8" t="str">
        <x:f>IF(AND(F35&lt;15,E35&lt;&gt;"审查确认简单"),"需确认简单","")</x:f>
      </x:c>
      <x:c r="P35" s="8" t="str">
        <x:v>卧室</x:v>
      </x:c>
      <x:c r="Q35" s="8" t="str">
        <x:v>早期争议复核导出.user_type</x:v>
      </x:c>
      <x:c r="R35" s="8" t="str">
        <x:v>优先审查目标（未选定）</x:v>
      </x:c>
      <x:c r="S35" s="8" t="str">
        <x:v>15号已有20人，4个目标无同图历史；可比较床侧、墙侧、入口侧的变化。</x:v>
      </x:c>
      <x:c r="T35" s="8" t="str">
        <x:v>浴室入口独立；床及镜面遮挡</x:v>
      </x:c>
      <x:c r="U35" s="8" t="str">
        <x:v>主卧有床、镜面及入口；组内预期相近不等于每张简单。</x:v>
      </x:c>
      <x:c r="V35" s="8" t="str">
        <x:v>https://raw.githubusercontent.com/Sparkling-Flames/3D_Manhattan_label/844a4694627e1eacc6bfb48911897335e48ecc17/data/mp3d_layout/valid/img/S9hNv5qa7GM_3c496aedd9d645a5b8d7a7b1b53f0636.png</x:v>
      </x:c>
      <x:c r="W35" s="8" t="str">
        <x:v>S9hNv5qa7GM_3c496aedd9d645a5b8d7a7b1b53f0636</x:v>
      </x:c>
    </x:row>
    <x:row r="36" ht="44" customHeight="1">
      <x:c r="A36" s="8" t="str">
        <x:v>G047</x:v>
      </x:c>
      <x:c r="B36" s="8" t="str">
        <x:v>S9hNv5qa7GM</x:v>
      </x:c>
      <x:c r="C36" s="8" t="n">
        <x:v>10</x:v>
      </x:c>
      <x:c r="D36" s="12" t="str">
        <x:v>待审</x:v>
      </x:c>
      <x:c r="E36" s="12" t="str">
        <x:v>未定</x:v>
      </x:c>
      <x:c r="F36" s="12" t="n">
        <x:v>15</x:v>
      </x:c>
      <x:c r="G36" s="12" t="str">
        <x:v>全部历史</x:v>
      </x:c>
      <x:c r="H36" s="8" t="n">
        <x:v>0</x:v>
      </x:c>
      <x:c r="I36" s="8" t="n">
        <x:v>0</x:v>
      </x:c>
      <x:c r="J36" s="8" t="n">
        <x:v>19</x:v>
      </x:c>
      <x:c r="K36" s="8" t="n">
        <x:v>0</x:v>
      </x:c>
      <x:c r="L36" s="8" t="n">
        <x:f>MAX(0,F36-IF(G36="当前19人",I36,H36))</x:f>
        <x:v>15</x:v>
      </x:c>
      <x:c r="M36" s="8" t="n">
        <x:f>IF(OR(D36="候选纳入",D36="特殊对照"),L36,0)</x:f>
        <x:v>0</x:v>
      </x:c>
      <x:c r="N36" s="8" t="str">
        <x:f>IF(L36&lt;=J36,"可达","人数不足")</x:f>
        <x:v>可达</x:v>
      </x:c>
      <x:c r="O36" s="8" t="str">
        <x:f>IF(AND(F36&lt;15,E36&lt;&gt;"审查确认简单"),"需确认简单","")</x:f>
      </x:c>
      <x:c r="P36" s="8" t="str">
        <x:v>卧室</x:v>
      </x:c>
      <x:c r="Q36" s="8" t="str">
        <x:v>早期争议复核导出.user_type</x:v>
      </x:c>
      <x:c r="R36" s="8" t="str">
        <x:v>优先审查目标（未选定）</x:v>
      </x:c>
      <x:c r="S36" s="8" t="str">
        <x:v>15号已有20人，4个目标无同图历史；可比较床侧、墙侧、入口侧的变化。</x:v>
      </x:c>
      <x:c r="T36" s="8" t="str">
        <x:v>浴室门在接缝两侧，入口较近</x:v>
      </x:c>
      <x:c r="U36" s="8" t="str">
        <x:v>主卧有床、镜面及入口；组内预期相近不等于每张简单。</x:v>
      </x:c>
      <x:c r="V36" s="8" t="str">
        <x:v>https://raw.githubusercontent.com/Sparkling-Flames/3D_Manhattan_label/844a4694627e1eacc6bfb48911897335e48ecc17/data/mp3d_layout/valid/img/S9hNv5qa7GM_674b3b6705604a4c8b89182edee11e54.png</x:v>
      </x:c>
      <x:c r="W36" s="8" t="str">
        <x:v>S9hNv5qa7GM_674b3b6705604a4c8b89182edee11e54</x:v>
      </x:c>
    </x:row>
    <x:row r="37" ht="44" customHeight="1">
      <x:c r="A37" s="8" t="str">
        <x:v>G047</x:v>
      </x:c>
      <x:c r="B37" s="8" t="str">
        <x:v>S9hNv5qa7GM</x:v>
      </x:c>
      <x:c r="C37" s="8" t="n">
        <x:v>15</x:v>
      </x:c>
      <x:c r="D37" s="12" t="str">
        <x:v>待审</x:v>
      </x:c>
      <x:c r="E37" s="12" t="str">
        <x:v>未定</x:v>
      </x:c>
      <x:c r="F37" s="12" t="n">
        <x:v>15</x:v>
      </x:c>
      <x:c r="G37" s="12" t="str">
        <x:v>全部历史</x:v>
      </x:c>
      <x:c r="H37" s="8" t="n">
        <x:v>20</x:v>
      </x:c>
      <x:c r="I37" s="8" t="n">
        <x:v>19</x:v>
      </x:c>
      <x:c r="J37" s="8" t="n">
        <x:v>0</x:v>
      </x:c>
      <x:c r="K37" s="8" t="n">
        <x:v>0</x:v>
      </x:c>
      <x:c r="L37" s="8" t="n">
        <x:f>MAX(0,F37-IF(G37="当前19人",I37,H37))</x:f>
        <x:v>0</x:v>
      </x:c>
      <x:c r="M37" s="8" t="n">
        <x:f>IF(OR(D37="候选纳入",D37="特殊对照"),L37,0)</x:f>
        <x:v>0</x:v>
      </x:c>
      <x:c r="N37" s="8" t="str">
        <x:f>IF(L37&lt;=J37,"可达","人数不足")</x:f>
        <x:v>可达</x:v>
      </x:c>
      <x:c r="O37" s="8" t="str">
        <x:f>IF(AND(F37&lt;15,E37&lt;&gt;"审查确认简单"),"需确认简单","")</x:f>
      </x:c>
      <x:c r="P37" s="8" t="str">
        <x:v>卧室</x:v>
      </x:c>
      <x:c r="Q37" s="8" t="str">
        <x:v>早期争议复核导出.user_type</x:v>
      </x:c>
      <x:c r="R37" s="8" t="str">
        <x:v>已有来源，优先复用</x:v>
      </x:c>
      <x:c r="S37" s="8" t="str">
        <x:v>15号已有20人，4个目标无同图历史；可比较床侧、墙侧、入口侧的变化。</x:v>
      </x:c>
      <x:c r="T37" s="8" t="str">
        <x:v>镜面不能当另一房间</x:v>
      </x:c>
      <x:c r="U37" s="8" t="str">
        <x:v>主卧有床、镜面及入口；组内预期相近不等于每张简单。</x:v>
      </x:c>
      <x:c r="V37" s="8" t="str">
        <x:v>https://raw.githubusercontent.com/Sparkling-Flames/3D_Manhattan_label/844a4694627e1eacc6bfb48911897335e48ecc17/data/mp3d_layout/valid/img/S9hNv5qa7GM_bd9faec23bb3462c94a5fbc6c0a3d5cf.png</x:v>
      </x:c>
      <x:c r="W37" s="8" t="str">
        <x:v>S9hNv5qa7GM_bd9faec23bb3462c94a5fbc6c0a3d5cf</x:v>
      </x:c>
    </x:row>
    <x:row r="38" ht="44" customHeight="1">
      <x:c r="A38" s="8" t="str">
        <x:v>G047</x:v>
      </x:c>
      <x:c r="B38" s="8" t="str">
        <x:v>S9hNv5qa7GM</x:v>
      </x:c>
      <x:c r="C38" s="8" t="n">
        <x:v>17</x:v>
      </x:c>
      <x:c r="D38" s="12" t="str">
        <x:v>待审</x:v>
      </x:c>
      <x:c r="E38" s="12" t="str">
        <x:v>未定</x:v>
      </x:c>
      <x:c r="F38" s="12" t="n">
        <x:v>15</x:v>
      </x:c>
      <x:c r="G38" s="12" t="str">
        <x:v>全部历史</x:v>
      </x:c>
      <x:c r="H38" s="8" t="n">
        <x:v>0</x:v>
      </x:c>
      <x:c r="I38" s="8" t="n">
        <x:v>0</x:v>
      </x:c>
      <x:c r="J38" s="8" t="n">
        <x:v>19</x:v>
      </x:c>
      <x:c r="K38" s="8" t="n">
        <x:v>0</x:v>
      </x:c>
      <x:c r="L38" s="8" t="n">
        <x:f>MAX(0,F38-IF(G38="当前19人",I38,H38))</x:f>
        <x:v>15</x:v>
      </x:c>
      <x:c r="M38" s="8" t="n">
        <x:f>IF(OR(D38="候选纳入",D38="特殊对照"),L38,0)</x:f>
        <x:v>0</x:v>
      </x:c>
      <x:c r="N38" s="8" t="str">
        <x:f>IF(L38&lt;=J38,"可达","人数不足")</x:f>
        <x:v>可达</x:v>
      </x:c>
      <x:c r="O38" s="8" t="str">
        <x:f>IF(AND(F38&lt;15,E38&lt;&gt;"审查确认简单"),"需确认简单","")</x:f>
      </x:c>
      <x:c r="P38" s="8" t="str">
        <x:v>卧室</x:v>
      </x:c>
      <x:c r="Q38" s="8" t="str">
        <x:v>早期争议复核导出.user_type</x:v>
      </x:c>
      <x:c r="R38" s="8" t="str">
        <x:v>优先审查目标（未选定）</x:v>
      </x:c>
      <x:c r="S38" s="8" t="str">
        <x:v>15号已有20人，4个目标无同图历史；可比较床侧、墙侧、入口侧的变化。</x:v>
      </x:c>
      <x:c r="T38" s="8" t="str">
        <x:v>墙角与床旁遮挡</x:v>
      </x:c>
      <x:c r="U38" s="8" t="str">
        <x:v>主卧有床、镜面及入口；组内预期相近不等于每张简单。</x:v>
      </x:c>
      <x:c r="V38" s="8" t="str">
        <x:v>https://raw.githubusercontent.com/Sparkling-Flames/3D_Manhattan_label/844a4694627e1eacc6bfb48911897335e48ecc17/data/mp3d_layout/valid/img/S9hNv5qa7GM_dbcf0a37c275473094e1160770291679.png</x:v>
      </x:c>
      <x:c r="W38" s="8" t="str">
        <x:v>S9hNv5qa7GM_dbcf0a37c275473094e1160770291679</x:v>
      </x:c>
    </x:row>
    <x:row r="39" ht="44" customHeight="1">
      <x:c r="A39" s="8" t="str">
        <x:v>G047</x:v>
      </x:c>
      <x:c r="B39" s="8" t="str">
        <x:v>S9hNv5qa7GM</x:v>
      </x:c>
      <x:c r="C39" s="8" t="n">
        <x:v>19</x:v>
      </x:c>
      <x:c r="D39" s="12" t="str">
        <x:v>待审</x:v>
      </x:c>
      <x:c r="E39" s="12" t="str">
        <x:v>未定</x:v>
      </x:c>
      <x:c r="F39" s="12" t="n">
        <x:v>15</x:v>
      </x:c>
      <x:c r="G39" s="12" t="str">
        <x:v>全部历史</x:v>
      </x:c>
      <x:c r="H39" s="8" t="n">
        <x:v>0</x:v>
      </x:c>
      <x:c r="I39" s="8" t="n">
        <x:v>0</x:v>
      </x:c>
      <x:c r="J39" s="8" t="n">
        <x:v>19</x:v>
      </x:c>
      <x:c r="K39" s="8" t="n">
        <x:v>0</x:v>
      </x:c>
      <x:c r="L39" s="8" t="n">
        <x:f>MAX(0,F39-IF(G39="当前19人",I39,H39))</x:f>
        <x:v>15</x:v>
      </x:c>
      <x:c r="M39" s="8" t="n">
        <x:f>IF(OR(D39="候选纳入",D39="特殊对照"),L39,0)</x:f>
        <x:v>0</x:v>
      </x:c>
      <x:c r="N39" s="8" t="str">
        <x:f>IF(L39&lt;=J39,"可达","人数不足")</x:f>
        <x:v>可达</x:v>
      </x:c>
      <x:c r="O39" s="8" t="str">
        <x:f>IF(AND(F39&lt;15,E39&lt;&gt;"审查确认简单"),"需确认简单","")</x:f>
      </x:c>
      <x:c r="P39" s="8" t="str">
        <x:v>卧室</x:v>
      </x:c>
      <x:c r="Q39" s="8" t="str">
        <x:v>早期争议复核导出.user_type</x:v>
      </x:c>
      <x:c r="R39" s="8" t="str">
        <x:v>优先审查目标（未选定）</x:v>
      </x:c>
      <x:c r="S39" s="8" t="str">
        <x:v>15号已有20人，4个目标无同图历史；可比较床侧、墙侧、入口侧的变化。</x:v>
      </x:c>
      <x:c r="T39" s="8" t="str">
        <x:v>入口多见但主卧仍占主区域</x:v>
      </x:c>
      <x:c r="U39" s="8" t="str">
        <x:v>主卧有床、镜面及入口；组内预期相近不等于每张简单。</x:v>
      </x:c>
      <x:c r="V39" s="8" t="str">
        <x:v>https://raw.githubusercontent.com/Sparkling-Flames/3D_Manhattan_label/844a4694627e1eacc6bfb48911897335e48ecc17/data/mp3d_layout/valid/img/S9hNv5qa7GM_e5e6c99e38014827b50ad33cd22e3c9d.png</x:v>
      </x:c>
      <x:c r="W39" s="8" t="str">
        <x:v>S9hNv5qa7GM_e5e6c99e38014827b50ad33cd22e3c9d</x:v>
      </x:c>
    </x:row>
    <x:row r="40" ht="44" customHeight="1">
      <x:c r="A40" s="8" t="str">
        <x:v>G057</x:v>
      </x:c>
      <x:c r="B40" s="8" t="str">
        <x:v>VFuaQ6m2Qom</x:v>
      </x:c>
      <x:c r="C40" s="8" t="n">
        <x:v>1</x:v>
      </x:c>
      <x:c r="D40" s="12" t="str">
        <x:v>待审</x:v>
      </x:c>
      <x:c r="E40" s="12" t="str">
        <x:v>未定</x:v>
      </x:c>
      <x:c r="F40" s="12" t="n">
        <x:v>15</x:v>
      </x:c>
      <x:c r="G40" s="12" t="str">
        <x:v>全部历史</x:v>
      </x:c>
      <x:c r="H40" s="8" t="n">
        <x:v>2</x:v>
      </x:c>
      <x:c r="I40" s="8" t="n">
        <x:v>2</x:v>
      </x:c>
      <x:c r="J40" s="8" t="n">
        <x:v>17</x:v>
      </x:c>
      <x:c r="K40" s="8" t="n">
        <x:v>0</x:v>
      </x:c>
      <x:c r="L40" s="8" t="n">
        <x:f>MAX(0,F40-IF(G40="当前19人",I40,H40))</x:f>
        <x:v>13</x:v>
      </x:c>
      <x:c r="M40" s="8" t="n">
        <x:f>IF(OR(D40="候选纳入",D40="特殊对照"),L40,0)</x:f>
        <x:v>0</x:v>
      </x:c>
      <x:c r="N40" s="8" t="str">
        <x:f>IF(L40&lt;=J40,"可达","人数不足")</x:f>
        <x:v>可达</x:v>
      </x:c>
      <x:c r="O40" s="8" t="str">
        <x:f>IF(AND(F40&lt;15,E40&lt;&gt;"审查确认简单"),"需确认简单","")</x:f>
      </x:c>
      <x:c r="P40" s="8" t="str">
        <x:v>卫浴</x:v>
      </x:c>
      <x:c r="Q40" s="8" t="str">
        <x:v>早期争议复核导出.user_type</x:v>
      </x:c>
      <x:c r="R40" s="8" t="str">
        <x:v>优先审查目标（未选定）</x:v>
      </x:c>
      <x:c r="S40" s="8" t="str">
        <x:v>07号19人；04号7人、10号5人，先补可节约成本；其余视点用于观察凹入细节/开口可见度变化。</x:v>
      </x:c>
      <x:c r="T40" s="8" t="str">
        <x:v>两侧小厕位开口、镜面与淋浴玻璃</x:v>
      </x:c>
      <x:c r="U40" s="8" t="str">
        <x:v>07号当前19人中只有18份可用，另1人已有同图记录不能补作独立第19票；范围与细节合理性需区分。</x:v>
      </x:c>
      <x:c r="V40" s="8" t="str">
        <x:v>https://raw.githubusercontent.com/Sparkling-Flames/3D_Manhattan_label/844a4694627e1eacc6bfb48911897335e48ecc17/data/mp3d_layout/valid/img/VFuaQ6m2Qom_109e18c64a614dc49e41a33ae979f98a.png</x:v>
      </x:c>
      <x:c r="W40" s="8" t="str">
        <x:v>VFuaQ6m2Qom_109e18c64a614dc49e41a33ae979f98a</x:v>
      </x:c>
    </x:row>
    <x:row r="41" ht="44" customHeight="1">
      <x:c r="A41" s="8" t="str">
        <x:v>G057</x:v>
      </x:c>
      <x:c r="B41" s="8" t="str">
        <x:v>VFuaQ6m2Qom</x:v>
      </x:c>
      <x:c r="C41" s="8" t="n">
        <x:v>2</x:v>
      </x:c>
      <x:c r="D41" s="12" t="str">
        <x:v>待审</x:v>
      </x:c>
      <x:c r="E41" s="12" t="str">
        <x:v>未定</x:v>
      </x:c>
      <x:c r="F41" s="12" t="n">
        <x:v>15</x:v>
      </x:c>
      <x:c r="G41" s="12" t="str">
        <x:v>全部历史</x:v>
      </x:c>
      <x:c r="H41" s="8" t="n">
        <x:v>0</x:v>
      </x:c>
      <x:c r="I41" s="8" t="n">
        <x:v>0</x:v>
      </x:c>
      <x:c r="J41" s="8" t="n">
        <x:v>19</x:v>
      </x:c>
      <x:c r="K41" s="8" t="n">
        <x:v>0</x:v>
      </x:c>
      <x:c r="L41" s="8" t="n">
        <x:f>MAX(0,F41-IF(G41="当前19人",I41,H41))</x:f>
        <x:v>15</x:v>
      </x:c>
      <x:c r="M41" s="8" t="n">
        <x:f>IF(OR(D41="候选纳入",D41="特殊对照"),L41,0)</x:f>
        <x:v>0</x:v>
      </x:c>
      <x:c r="N41" s="8" t="str">
        <x:f>IF(L41&lt;=J41,"可达","人数不足")</x:f>
        <x:v>可达</x:v>
      </x:c>
      <x:c r="O41" s="8" t="str">
        <x:f>IF(AND(F41&lt;15,E41&lt;&gt;"审查确认简单"),"需确认简单","")</x:f>
      </x:c>
      <x:c r="P41" s="8" t="str">
        <x:v>卫浴</x:v>
      </x:c>
      <x:c r="Q41" s="8" t="str">
        <x:v>早期争议复核导出.user_type</x:v>
      </x:c>
      <x:c r="R41" s="8" t="str">
        <x:v>优先审查目标（未选定）</x:v>
      </x:c>
      <x:c r="S41" s="8" t="str">
        <x:v>07号19人；04号7人、10号5人，先补可节约成本；其余视点用于观察凹入细节/开口可见度变化。</x:v>
      </x:c>
      <x:c r="T41" s="8" t="str">
        <x:v>门外木地板过道次要</x:v>
      </x:c>
      <x:c r="U41" s="8" t="str">
        <x:v>07号当前19人中只有18份可用，另1人已有同图记录不能补作独立第19票；范围与细节合理性需区分。</x:v>
      </x:c>
      <x:c r="V41" s="8" t="str">
        <x:v>https://raw.githubusercontent.com/Sparkling-Flames/3D_Manhattan_label/844a4694627e1eacc6bfb48911897335e48ecc17/data/mp3d_layout/valid/img/VFuaQ6m2Qom_24d1e0ee55a542b68d600b81eae4f4d4.png</x:v>
      </x:c>
      <x:c r="W41" s="8" t="str">
        <x:v>VFuaQ6m2Qom_24d1e0ee55a542b68d600b81eae4f4d4</x:v>
      </x:c>
    </x:row>
    <x:row r="42" ht="44" customHeight="1">
      <x:c r="A42" s="8" t="str">
        <x:v>G057</x:v>
      </x:c>
      <x:c r="B42" s="8" t="str">
        <x:v>VFuaQ6m2Qom</x:v>
      </x:c>
      <x:c r="C42" s="8" t="n">
        <x:v>4</x:v>
      </x:c>
      <x:c r="D42" s="12" t="str">
        <x:v>待审</x:v>
      </x:c>
      <x:c r="E42" s="12" t="str">
        <x:v>未定</x:v>
      </x:c>
      <x:c r="F42" s="12" t="n">
        <x:v>15</x:v>
      </x:c>
      <x:c r="G42" s="12" t="str">
        <x:v>全部历史</x:v>
      </x:c>
      <x:c r="H42" s="8" t="n">
        <x:v>7</x:v>
      </x:c>
      <x:c r="I42" s="8" t="n">
        <x:v>7</x:v>
      </x:c>
      <x:c r="J42" s="8" t="n">
        <x:v>12</x:v>
      </x:c>
      <x:c r="K42" s="8" t="n">
        <x:v>0</x:v>
      </x:c>
      <x:c r="L42" s="8" t="n">
        <x:f>MAX(0,F42-IF(G42="当前19人",I42,H42))</x:f>
        <x:v>8</x:v>
      </x:c>
      <x:c r="M42" s="8" t="n">
        <x:f>IF(OR(D42="候选纳入",D42="特殊对照"),L42,0)</x:f>
        <x:v>0</x:v>
      </x:c>
      <x:c r="N42" s="8" t="str">
        <x:f>IF(L42&lt;=J42,"可达","人数不足")</x:f>
        <x:v>可达</x:v>
      </x:c>
      <x:c r="O42" s="8" t="str">
        <x:f>IF(AND(F42&lt;15,E42&lt;&gt;"审查确认简单"),"需确认简单","")</x:f>
      </x:c>
      <x:c r="P42" s="8" t="str">
        <x:v>卫浴</x:v>
      </x:c>
      <x:c r="Q42" s="8" t="str">
        <x:v>早期争议复核导出.user_type</x:v>
      </x:c>
      <x:c r="R42" s="8" t="str">
        <x:v>优先审查目标（未选定）</x:v>
      </x:c>
      <x:c r="S42" s="8" t="str">
        <x:v>07号19人；04号7人、10号5人，先补可节约成本；其余视点用于观察凹入细节/开口可见度变化。</x:v>
      </x:c>
      <x:c r="T42" s="8" t="str">
        <x:v>玻璃及厕位开口</x:v>
      </x:c>
      <x:c r="U42" s="8" t="str">
        <x:v>07号当前19人中只有18份可用，另1人已有同图记录不能补作独立第19票；范围与细节合理性需区分。</x:v>
      </x:c>
      <x:c r="V42" s="8" t="str">
        <x:v>https://raw.githubusercontent.com/Sparkling-Flames/3D_Manhattan_label/844a4694627e1eacc6bfb48911897335e48ecc17/data/mp3d_layout/valid/img/VFuaQ6m2Qom_5fb269a812f349b4bc2ad5dfac000b85.png</x:v>
      </x:c>
      <x:c r="W42" s="8" t="str">
        <x:v>VFuaQ6m2Qom_5fb269a812f349b4bc2ad5dfac000b85</x:v>
      </x:c>
    </x:row>
    <x:row r="43" ht="44" customHeight="1">
      <x:c r="A43" s="8" t="str">
        <x:v>G057</x:v>
      </x:c>
      <x:c r="B43" s="8" t="str">
        <x:v>VFuaQ6m2Qom</x:v>
      </x:c>
      <x:c r="C43" s="8" t="n">
        <x:v>7</x:v>
      </x:c>
      <x:c r="D43" s="12" t="str">
        <x:v>待审</x:v>
      </x:c>
      <x:c r="E43" s="12" t="str">
        <x:v>未定</x:v>
      </x:c>
      <x:c r="F43" s="12" t="n">
        <x:v>15</x:v>
      </x:c>
      <x:c r="G43" s="12" t="str">
        <x:v>全部历史</x:v>
      </x:c>
      <x:c r="H43" s="8" t="n">
        <x:v>19</x:v>
      </x:c>
      <x:c r="I43" s="8" t="n">
        <x:v>18</x:v>
      </x:c>
      <x:c r="J43" s="8" t="n">
        <x:v>0</x:v>
      </x:c>
      <x:c r="K43" s="8" t="n">
        <x:v>0</x:v>
      </x:c>
      <x:c r="L43" s="8" t="n">
        <x:f>MAX(0,F43-IF(G43="当前19人",I43,H43))</x:f>
        <x:v>0</x:v>
      </x:c>
      <x:c r="M43" s="8" t="n">
        <x:f>IF(OR(D43="候选纳入",D43="特殊对照"),L43,0)</x:f>
        <x:v>0</x:v>
      </x:c>
      <x:c r="N43" s="8" t="str">
        <x:f>IF(L43&lt;=J43,"可达","人数不足")</x:f>
        <x:v>可达</x:v>
      </x:c>
      <x:c r="O43" s="8" t="str">
        <x:f>IF(AND(F43&lt;15,E43&lt;&gt;"审查确认简单"),"需确认简单","")</x:f>
      </x:c>
      <x:c r="P43" s="8" t="str">
        <x:v>卫浴</x:v>
      </x:c>
      <x:c r="Q43" s="8" t="str">
        <x:v>早期争议复核导出.user_type</x:v>
      </x:c>
      <x:c r="R43" s="8" t="str">
        <x:v>已有来源，优先复用</x:v>
      </x:c>
      <x:c r="S43" s="8" t="str">
        <x:v>07号19人；04号7人、10号5人，先补可节约成本；其余视点用于观察凹入细节/开口可见度变化。</x:v>
      </x:c>
      <x:c r="T43" s="8" t="str">
        <x:v>淋浴玻璃及两侧厕位更显著</x:v>
      </x:c>
      <x:c r="U43" s="8" t="str">
        <x:v>07号当前19人中只有18份可用，另1人已有同图记录不能补作独立第19票；范围与细节合理性需区分。</x:v>
      </x:c>
      <x:c r="V43" s="8" t="str">
        <x:v>https://raw.githubusercontent.com/Sparkling-Flames/3D_Manhattan_label/844a4694627e1eacc6bfb48911897335e48ecc17/data/mp3d_layout/valid/img/VFuaQ6m2Qom_ad4c387f8175498491966703c8441e0d.png</x:v>
      </x:c>
      <x:c r="W43" s="8" t="str">
        <x:v>VFuaQ6m2Qom_ad4c387f8175498491966703c8441e0d</x:v>
      </x:c>
    </x:row>
    <x:row r="44" ht="44" customHeight="1">
      <x:c r="A44" s="8" t="str">
        <x:v>G057</x:v>
      </x:c>
      <x:c r="B44" s="8" t="str">
        <x:v>VFuaQ6m2Qom</x:v>
      </x:c>
      <x:c r="C44" s="8" t="n">
        <x:v>10</x:v>
      </x:c>
      <x:c r="D44" s="12" t="str">
        <x:v>待审</x:v>
      </x:c>
      <x:c r="E44" s="12" t="str">
        <x:v>未定</x:v>
      </x:c>
      <x:c r="F44" s="12" t="n">
        <x:v>15</x:v>
      </x:c>
      <x:c r="G44" s="12" t="str">
        <x:v>全部历史</x:v>
      </x:c>
      <x:c r="H44" s="8" t="n">
        <x:v>5</x:v>
      </x:c>
      <x:c r="I44" s="8" t="n">
        <x:v>4</x:v>
      </x:c>
      <x:c r="J44" s="8" t="n">
        <x:v>15</x:v>
      </x:c>
      <x:c r="K44" s="8" t="n">
        <x:v>0</x:v>
      </x:c>
      <x:c r="L44" s="8" t="n">
        <x:f>MAX(0,F44-IF(G44="当前19人",I44,H44))</x:f>
        <x:v>10</x:v>
      </x:c>
      <x:c r="M44" s="8" t="n">
        <x:f>IF(OR(D44="候选纳入",D44="特殊对照"),L44,0)</x:f>
        <x:v>0</x:v>
      </x:c>
      <x:c r="N44" s="8" t="str">
        <x:f>IF(L44&lt;=J44,"可达","人数不足")</x:f>
        <x:v>可达</x:v>
      </x:c>
      <x:c r="O44" s="8" t="str">
        <x:f>IF(AND(F44&lt;15,E44&lt;&gt;"审查确认简单"),"需确认简单","")</x:f>
      </x:c>
      <x:c r="P44" s="8" t="str">
        <x:v>卫浴</x:v>
      </x:c>
      <x:c r="Q44" s="8" t="str">
        <x:v>早期争议复核导出.user_type</x:v>
      </x:c>
      <x:c r="R44" s="8" t="str">
        <x:v>优先审查目标（未选定）</x:v>
      </x:c>
      <x:c r="S44" s="8" t="str">
        <x:v>07号19人；04号7人、10号5人，先补可节约成本；其余视点用于观察凹入细节/开口可见度变化。</x:v>
      </x:c>
      <x:c r="T44" s="8" t="str">
        <x:v>近台面镜面遮挡</x:v>
      </x:c>
      <x:c r="U44" s="8" t="str">
        <x:v>07号当前19人中只有18份可用，另1人已有同图记录不能补作独立第19票；范围与细节合理性需区分。</x:v>
      </x:c>
      <x:c r="V44" s="8" t="str">
        <x:v>https://raw.githubusercontent.com/Sparkling-Flames/3D_Manhattan_label/844a4694627e1eacc6bfb48911897335e48ecc17/data/mp3d_layout/valid/img/VFuaQ6m2Qom_f0be18aa2f1d4aa2b6adf355a86f34b8.png</x:v>
      </x:c>
      <x:c r="W44" s="8" t="str">
        <x:v>VFuaQ6m2Qom_f0be18aa2f1d4aa2b6adf355a86f34b8</x:v>
      </x:c>
    </x:row>
    <x:row r="45" ht="44" customHeight="1">
      <x:c r="A45" s="8" t="str">
        <x:v>G057</x:v>
      </x:c>
      <x:c r="B45" s="8" t="str">
        <x:v>VFuaQ6m2Qom</x:v>
      </x:c>
      <x:c r="C45" s="8" t="n">
        <x:v>11</x:v>
      </x:c>
      <x:c r="D45" s="12" t="str">
        <x:v>待审</x:v>
      </x:c>
      <x:c r="E45" s="12" t="str">
        <x:v>未定</x:v>
      </x:c>
      <x:c r="F45" s="12" t="n">
        <x:v>15</x:v>
      </x:c>
      <x:c r="G45" s="12" t="str">
        <x:v>全部历史</x:v>
      </x:c>
      <x:c r="H45" s="8" t="n">
        <x:v>0</x:v>
      </x:c>
      <x:c r="I45" s="8" t="n">
        <x:v>0</x:v>
      </x:c>
      <x:c r="J45" s="8" t="n">
        <x:v>19</x:v>
      </x:c>
      <x:c r="K45" s="8" t="n">
        <x:v>0</x:v>
      </x:c>
      <x:c r="L45" s="8" t="n">
        <x:f>MAX(0,F45-IF(G45="当前19人",I45,H45))</x:f>
        <x:v>15</x:v>
      </x:c>
      <x:c r="M45" s="8" t="n">
        <x:f>IF(OR(D45="候选纳入",D45="特殊对照"),L45,0)</x:f>
        <x:v>0</x:v>
      </x:c>
      <x:c r="N45" s="8" t="str">
        <x:f>IF(L45&lt;=J45,"可达","人数不足")</x:f>
        <x:v>可达</x:v>
      </x:c>
      <x:c r="O45" s="8" t="str">
        <x:f>IF(AND(F45&lt;15,E45&lt;&gt;"审查确认简单"),"需确认简单","")</x:f>
      </x:c>
      <x:c r="P45" s="8" t="str">
        <x:v>卫浴</x:v>
      </x:c>
      <x:c r="Q45" s="8" t="str">
        <x:v>早期争议复核导出.user_type</x:v>
      </x:c>
      <x:c r="R45" s="8" t="str">
        <x:v>优先审查目标（未选定）</x:v>
      </x:c>
      <x:c r="S45" s="8" t="str">
        <x:v>07号19人；04号7人、10号5人，先补可节约成本；其余视点用于观察凹入细节/开口可见度变化。</x:v>
      </x:c>
      <x:c r="T45" s="8" t="str">
        <x:v>开门洞较突出，主卫仍完整</x:v>
      </x:c>
      <x:c r="U45" s="8" t="str">
        <x:v>07号当前19人中只有18份可用，另1人已有同图记录不能补作独立第19票；范围与细节合理性需区分。</x:v>
      </x:c>
      <x:c r="V45" s="8" t="str">
        <x:v>https://raw.githubusercontent.com/Sparkling-Flames/3D_Manhattan_label/844a4694627e1eacc6bfb48911897335e48ecc17/data/mp3d_layout/valid/img/VFuaQ6m2Qom_f75a440593bb4140b899730917096859.png</x:v>
      </x:c>
      <x:c r="W45" s="8" t="str">
        <x:v>VFuaQ6m2Qom_f75a440593bb4140b899730917096859</x:v>
      </x:c>
    </x:row>
    <x:row r="46" ht="44" customHeight="1">
      <x:c r="A46" s="8" t="str">
        <x:v>G237</x:v>
      </x:c>
      <x:c r="B46" s="8" t="str">
        <x:v>yqstnuAEVhm</x:v>
      </x:c>
      <x:c r="C46" s="8" t="n">
        <x:v>2</x:v>
      </x:c>
      <x:c r="D46" s="12" t="str">
        <x:v>待审</x:v>
      </x:c>
      <x:c r="E46" s="12" t="str">
        <x:v>未定</x:v>
      </x:c>
      <x:c r="F46" s="12" t="n">
        <x:v>15</x:v>
      </x:c>
      <x:c r="G46" s="12" t="str">
        <x:v>全部历史</x:v>
      </x:c>
      <x:c r="H46" s="8" t="n">
        <x:v>0</x:v>
      </x:c>
      <x:c r="I46" s="8" t="n">
        <x:v>0</x:v>
      </x:c>
      <x:c r="J46" s="8" t="n">
        <x:v>19</x:v>
      </x:c>
      <x:c r="K46" s="8" t="n">
        <x:v>0</x:v>
      </x:c>
      <x:c r="L46" s="8" t="n">
        <x:f>MAX(0,F46-IF(G46="当前19人",I46,H46))</x:f>
        <x:v>15</x:v>
      </x:c>
      <x:c r="M46" s="8" t="n">
        <x:f>IF(OR(D46="候选纳入",D46="特殊对照"),L46,0)</x:f>
        <x:v>0</x:v>
      </x:c>
      <x:c r="N46" s="8" t="str">
        <x:f>IF(L46&lt;=J46,"可达","人数不足")</x:f>
        <x:v>可达</x:v>
      </x:c>
      <x:c r="O46" s="8" t="str">
        <x:f>IF(AND(F46&lt;15,E46&lt;&gt;"审查确认简单"),"需确认简单","")</x:f>
      </x:c>
      <x:c r="P46" s="8" t="str">
        <x:v>厨房与用餐</x:v>
      </x:c>
      <x:c r="Q46" s="8" t="str">
        <x:v>早期争议复核导出.user_type</x:v>
      </x:c>
      <x:c r="R46" s="8" t="str">
        <x:v>替代/特殊视点，另审</x:v>
      </x:c>
      <x:c r="S46" s="8" t="str">
        <x:v>26号已有25人；05/10室内视点与02靠厨房门视点构成可审查的对照。</x:v>
      </x:c>
      <x:c r="T46" s="8" t="str">
        <x:v>近门同时展示厨房，跨门范围比室内视点更不确定</x:v>
      </x:c>
      <x:c r="U46" s="8" t="str">
        <x:v>02的厨房门信息更多，不应与内部视点不加区分地合并。</x:v>
      </x:c>
      <x:c r="V46" s="8" t="str">
        <x:v>https://raw.githubusercontent.com/Sparkling-Flames/3D_Manhattan_label/844a4694627e1eacc6bfb48911897335e48ecc17/data/mp3d_layout/test/img/yqstnuAEVhm_19e4188fa39244378481dcdb18c42dbe.png</x:v>
      </x:c>
      <x:c r="W46" s="8" t="str">
        <x:v>yqstnuAEVhm_19e4188fa39244378481dcdb18c42dbe</x:v>
      </x:c>
    </x:row>
    <x:row r="47" ht="44" customHeight="1">
      <x:c r="A47" s="8" t="str">
        <x:v>G237</x:v>
      </x:c>
      <x:c r="B47" s="8" t="str">
        <x:v>yqstnuAEVhm</x:v>
      </x:c>
      <x:c r="C47" s="8" t="n">
        <x:v>5</x:v>
      </x:c>
      <x:c r="D47" s="12" t="str">
        <x:v>待审</x:v>
      </x:c>
      <x:c r="E47" s="12" t="str">
        <x:v>未定</x:v>
      </x:c>
      <x:c r="F47" s="12" t="n">
        <x:v>15</x:v>
      </x:c>
      <x:c r="G47" s="12" t="str">
        <x:v>全部历史</x:v>
      </x:c>
      <x:c r="H47" s="8" t="n">
        <x:v>0</x:v>
      </x:c>
      <x:c r="I47" s="8" t="n">
        <x:v>0</x:v>
      </x:c>
      <x:c r="J47" s="8" t="n">
        <x:v>19</x:v>
      </x:c>
      <x:c r="K47" s="8" t="n">
        <x:v>0</x:v>
      </x:c>
      <x:c r="L47" s="8" t="n">
        <x:f>MAX(0,F47-IF(G47="当前19人",I47,H47))</x:f>
        <x:v>15</x:v>
      </x:c>
      <x:c r="M47" s="8" t="n">
        <x:f>IF(OR(D47="候选纳入",D47="特殊对照"),L47,0)</x:f>
        <x:v>0</x:v>
      </x:c>
      <x:c r="N47" s="8" t="str">
        <x:f>IF(L47&lt;=J47,"可达","人数不足")</x:f>
        <x:v>可达</x:v>
      </x:c>
      <x:c r="O47" s="8" t="str">
        <x:f>IF(AND(F47&lt;15,E47&lt;&gt;"审查确认简单"),"需确认简单","")</x:f>
      </x:c>
      <x:c r="P47" s="8" t="str">
        <x:v>厨房与用餐</x:v>
      </x:c>
      <x:c r="Q47" s="8" t="str">
        <x:v>早期争议复核导出.user_type</x:v>
      </x:c>
      <x:c r="R47" s="8" t="str">
        <x:v>优先审查目标（未选定）</x:v>
      </x:c>
      <x:c r="S47" s="8" t="str">
        <x:v>26号已有25人；05/10室内视点与02靠厨房门视点构成可审查的对照。</x:v>
      </x:c>
      <x:c r="T47" s="8" t="str">
        <x:v>桌椅遮墙脚，客厅和书房通过不同门洞出现</x:v>
      </x:c>
      <x:c r="U47" s="8" t="str">
        <x:v>02的厨房门信息更多，不应与内部视点不加区分地合并。</x:v>
      </x:c>
      <x:c r="V47" s="8" t="str">
        <x:v>https://raw.githubusercontent.com/Sparkling-Flames/3D_Manhattan_label/844a4694627e1eacc6bfb48911897335e48ecc17/data/mp3d_layout/test/img/yqstnuAEVhm_2b3fb4746d414cc6a31729b222ed79b2.png</x:v>
      </x:c>
      <x:c r="W47" s="8" t="str">
        <x:v>yqstnuAEVhm_2b3fb4746d414cc6a31729b222ed79b2</x:v>
      </x:c>
    </x:row>
    <x:row r="48" ht="44" customHeight="1">
      <x:c r="A48" s="8" t="str">
        <x:v>G237</x:v>
      </x:c>
      <x:c r="B48" s="8" t="str">
        <x:v>yqstnuAEVhm</x:v>
      </x:c>
      <x:c r="C48" s="8" t="n">
        <x:v>10</x:v>
      </x:c>
      <x:c r="D48" s="12" t="str">
        <x:v>待审</x:v>
      </x:c>
      <x:c r="E48" s="12" t="str">
        <x:v>未定</x:v>
      </x:c>
      <x:c r="F48" s="12" t="n">
        <x:v>15</x:v>
      </x:c>
      <x:c r="G48" s="12" t="str">
        <x:v>全部历史</x:v>
      </x:c>
      <x:c r="H48" s="8" t="n">
        <x:v>0</x:v>
      </x:c>
      <x:c r="I48" s="8" t="n">
        <x:v>0</x:v>
      </x:c>
      <x:c r="J48" s="8" t="n">
        <x:v>19</x:v>
      </x:c>
      <x:c r="K48" s="8" t="n">
        <x:v>0</x:v>
      </x:c>
      <x:c r="L48" s="8" t="n">
        <x:f>MAX(0,F48-IF(G48="当前19人",I48,H48))</x:f>
        <x:v>15</x:v>
      </x:c>
      <x:c r="M48" s="8" t="n">
        <x:f>IF(OR(D48="候选纳入",D48="特殊对照"),L48,0)</x:f>
        <x:v>0</x:v>
      </x:c>
      <x:c r="N48" s="8" t="str">
        <x:f>IF(L48&lt;=J48,"可达","人数不足")</x:f>
        <x:v>可达</x:v>
      </x:c>
      <x:c r="O48" s="8" t="str">
        <x:f>IF(AND(F48&lt;15,E48&lt;&gt;"审查确认简单"),"需确认简单","")</x:f>
      </x:c>
      <x:c r="P48" s="8" t="str">
        <x:v>厨房与用餐</x:v>
      </x:c>
      <x:c r="Q48" s="8" t="str">
        <x:v>早期争议复核导出.user_type</x:v>
      </x:c>
      <x:c r="R48" s="8" t="str">
        <x:v>优先审查目标（未选定）</x:v>
      </x:c>
      <x:c r="S48" s="8" t="str">
        <x:v>26号已有25人；05/10室内视点与02靠厨房门视点构成可审查的对照。</x:v>
      </x:c>
      <x:c r="T48" s="8" t="str">
        <x:v>桌椅遮墙脚，客厅和书房通过不同门洞出现</x:v>
      </x:c>
      <x:c r="U48" s="8" t="str">
        <x:v>02的厨房门信息更多，不应与内部视点不加区分地合并。</x:v>
      </x:c>
      <x:c r="V48" s="8" t="str">
        <x:v>https://raw.githubusercontent.com/Sparkling-Flames/3D_Manhattan_label/844a4694627e1eacc6bfb48911897335e48ecc17/data/mp3d_layout/test/img/yqstnuAEVhm_4ab11dce32f346b2becac29e0ac6e526.png</x:v>
      </x:c>
      <x:c r="W48" s="8" t="str">
        <x:v>yqstnuAEVhm_4ab11dce32f346b2becac29e0ac6e526</x:v>
      </x:c>
    </x:row>
    <x:row r="49" ht="44" customHeight="1">
      <x:c r="A49" s="8" t="str">
        <x:v>G237</x:v>
      </x:c>
      <x:c r="B49" s="8" t="str">
        <x:v>yqstnuAEVhm</x:v>
      </x:c>
      <x:c r="C49" s="8" t="n">
        <x:v>26</x:v>
      </x:c>
      <x:c r="D49" s="12" t="str">
        <x:v>待审</x:v>
      </x:c>
      <x:c r="E49" s="12" t="str">
        <x:v>未定</x:v>
      </x:c>
      <x:c r="F49" s="12" t="n">
        <x:v>15</x:v>
      </x:c>
      <x:c r="G49" s="12" t="str">
        <x:v>全部历史</x:v>
      </x:c>
      <x:c r="H49" s="8" t="n">
        <x:v>25</x:v>
      </x:c>
      <x:c r="I49" s="8" t="n">
        <x:v>19</x:v>
      </x:c>
      <x:c r="J49" s="8" t="n">
        <x:v>0</x:v>
      </x:c>
      <x:c r="K49" s="8" t="n">
        <x:v>0</x:v>
      </x:c>
      <x:c r="L49" s="8" t="n">
        <x:f>MAX(0,F49-IF(G49="当前19人",I49,H49))</x:f>
        <x:v>0</x:v>
      </x:c>
      <x:c r="M49" s="8" t="n">
        <x:f>IF(OR(D49="候选纳入",D49="特殊对照"),L49,0)</x:f>
        <x:v>0</x:v>
      </x:c>
      <x:c r="N49" s="8" t="str">
        <x:f>IF(L49&lt;=J49,"可达","人数不足")</x:f>
        <x:v>可达</x:v>
      </x:c>
      <x:c r="O49" s="8" t="str">
        <x:f>IF(AND(F49&lt;15,E49&lt;&gt;"审查确认简单"),"需确认简单","")</x:f>
      </x:c>
      <x:c r="P49" s="8" t="str">
        <x:v>厨房与用餐</x:v>
      </x:c>
      <x:c r="Q49" s="8" t="str">
        <x:v>早期争议复核导出.user_type</x:v>
      </x:c>
      <x:c r="R49" s="8" t="str">
        <x:v>已有来源，优先复用</x:v>
      </x:c>
      <x:c r="S49" s="8" t="str">
        <x:v>26号已有25人；05/10室内视点与02靠厨房门视点构成可审查的对照。</x:v>
      </x:c>
      <x:c r="T49" s="8" t="str">
        <x:v>桌椅遮墙脚，客厅和书房通过不同门洞出现</x:v>
      </x:c>
      <x:c r="U49" s="8" t="str">
        <x:v>02的厨房门信息更多，不应与内部视点不加区分地合并。</x:v>
      </x:c>
      <x:c r="V49" s="8" t="str">
        <x:v>https://raw.githubusercontent.com/Sparkling-Flames/3D_Manhattan_label/844a4694627e1eacc6bfb48911897335e48ecc17/data/mp3d_layout/test/img/yqstnuAEVhm_a93ea1ea5702412c9ef9c82a436c4599.png</x:v>
      </x:c>
      <x:c r="W49" s="8" t="str">
        <x:v>yqstnuAEVhm_a93ea1ea5702412c9ef9c82a436c4599</x:v>
      </x:c>
    </x:row>
    <x:row r="50" ht="44" customHeight="1">
      <x:c r="A50" s="8" t="str">
        <x:v>G165</x:v>
      </x:c>
      <x:c r="B50" s="8" t="str">
        <x:v>rPc6DW4iMge</x:v>
      </x:c>
      <x:c r="C50" s="8" t="n">
        <x:v>2</x:v>
      </x:c>
      <x:c r="D50" s="12" t="str">
        <x:v>待审</x:v>
      </x:c>
      <x:c r="E50" s="12" t="str">
        <x:v>未定</x:v>
      </x:c>
      <x:c r="F50" s="12" t="n">
        <x:v>15</x:v>
      </x:c>
      <x:c r="G50" s="12" t="str">
        <x:v>全部历史</x:v>
      </x:c>
      <x:c r="H50" s="8" t="n">
        <x:v>0</x:v>
      </x:c>
      <x:c r="I50" s="8" t="n">
        <x:v>0</x:v>
      </x:c>
      <x:c r="J50" s="8" t="n">
        <x:v>19</x:v>
      </x:c>
      <x:c r="K50" s="8" t="n">
        <x:v>0</x:v>
      </x:c>
      <x:c r="L50" s="8" t="n">
        <x:f>MAX(0,F50-IF(G50="当前19人",I50,H50))</x:f>
        <x:v>15</x:v>
      </x:c>
      <x:c r="M50" s="8" t="n">
        <x:f>IF(OR(D50="候选纳入",D50="特殊对照"),L50,0)</x:f>
        <x:v>0</x:v>
      </x:c>
      <x:c r="N50" s="8" t="str">
        <x:f>IF(L50&lt;=J50,"可达","人数不足")</x:f>
        <x:v>可达</x:v>
      </x:c>
      <x:c r="O50" s="8" t="str">
        <x:f>IF(AND(F50&lt;15,E50&lt;&gt;"审查确认简单"),"需确认简单","")</x:f>
      </x:c>
      <x:c r="P50" s="8" t="str">
        <x:v>卧室</x:v>
      </x:c>
      <x:c r="Q50" s="8" t="str">
        <x:v>早期争议复核导出.user_type</x:v>
      </x:c>
      <x:c r="R50" s="8" t="str">
        <x:v>优先审查目标（未选定）</x:v>
      </x:c>
      <x:c r="S50" s="8" t="str">
        <x:v>15号已有23人；02/14两个新目标可补另一个building的卧室证据。</x:v>
      </x:c>
      <x:c r="T50" s="8" t="str">
        <x:v>床柜遮挡墙脚但主体完整</x:v>
      </x:c>
      <x:c r="U50" s="8" t="str">
        <x:v>仅3图，无法像5图组保留同样多的独立评价目标；是否值得投入由覆盖预算决定。</x:v>
      </x:c>
      <x:c r="V50" s="8" t="str">
        <x:v>https://raw.githubusercontent.com/Sparkling-Flames/3D_Manhattan_label/844a4694627e1eacc6bfb48911897335e48ecc17/data/mp3d_layout/test/img/rPc6DW4iMge_0226db0c3fd24410bbf3db5e6d4b24fe.png</x:v>
      </x:c>
      <x:c r="W50" s="8" t="str">
        <x:v>rPc6DW4iMge_0226db0c3fd24410bbf3db5e6d4b24fe</x:v>
      </x:c>
    </x:row>
    <x:row r="51" ht="44" customHeight="1">
      <x:c r="A51" s="8" t="str">
        <x:v>G165</x:v>
      </x:c>
      <x:c r="B51" s="8" t="str">
        <x:v>rPc6DW4iMge</x:v>
      </x:c>
      <x:c r="C51" s="8" t="n">
        <x:v>14</x:v>
      </x:c>
      <x:c r="D51" s="12" t="str">
        <x:v>待审</x:v>
      </x:c>
      <x:c r="E51" s="12" t="str">
        <x:v>未定</x:v>
      </x:c>
      <x:c r="F51" s="12" t="n">
        <x:v>15</x:v>
      </x:c>
      <x:c r="G51" s="12" t="str">
        <x:v>全部历史</x:v>
      </x:c>
      <x:c r="H51" s="8" t="n">
        <x:v>0</x:v>
      </x:c>
      <x:c r="I51" s="8" t="n">
        <x:v>0</x:v>
      </x:c>
      <x:c r="J51" s="8" t="n">
        <x:v>19</x:v>
      </x:c>
      <x:c r="K51" s="8" t="n">
        <x:v>0</x:v>
      </x:c>
      <x:c r="L51" s="8" t="n">
        <x:f>MAX(0,F51-IF(G51="当前19人",I51,H51))</x:f>
        <x:v>15</x:v>
      </x:c>
      <x:c r="M51" s="8" t="n">
        <x:f>IF(OR(D51="候选纳入",D51="特殊对照"),L51,0)</x:f>
        <x:v>0</x:v>
      </x:c>
      <x:c r="N51" s="8" t="str">
        <x:f>IF(L51&lt;=J51,"可达","人数不足")</x:f>
        <x:v>可达</x:v>
      </x:c>
      <x:c r="O51" s="8" t="str">
        <x:f>IF(AND(F51&lt;15,E51&lt;&gt;"审查确认简单"),"需确认简单","")</x:f>
      </x:c>
      <x:c r="P51" s="8" t="str">
        <x:v>卧室</x:v>
      </x:c>
      <x:c r="Q51" s="8" t="str">
        <x:v>早期争议复核导出.user_type</x:v>
      </x:c>
      <x:c r="R51" s="8" t="str">
        <x:v>优先审查目标（未选定）</x:v>
      </x:c>
      <x:c r="S51" s="8" t="str">
        <x:v>15号已有23人；02/14两个新目标可补另一个building的卧室证据。</x:v>
      </x:c>
      <x:c r="T51" s="8" t="str">
        <x:v>柜床遮挡与02相近</x:v>
      </x:c>
      <x:c r="U51" s="8" t="str">
        <x:v>仅3图，无法像5图组保留同样多的独立评价目标；是否值得投入由覆盖预算决定。</x:v>
      </x:c>
      <x:c r="V51" s="8" t="str">
        <x:v>https://raw.githubusercontent.com/Sparkling-Flames/3D_Manhattan_label/844a4694627e1eacc6bfb48911897335e48ecc17/data/mp3d_layout/test/img/rPc6DW4iMge_7316bf706e0d46368334c0c989210e09.png</x:v>
      </x:c>
      <x:c r="W51" s="8" t="str">
        <x:v>rPc6DW4iMge_7316bf706e0d46368334c0c989210e09</x:v>
      </x:c>
    </x:row>
    <x:row r="52" ht="44" customHeight="1">
      <x:c r="A52" s="8" t="str">
        <x:v>G165</x:v>
      </x:c>
      <x:c r="B52" s="8" t="str">
        <x:v>rPc6DW4iMge</x:v>
      </x:c>
      <x:c r="C52" s="8" t="n">
        <x:v>15</x:v>
      </x:c>
      <x:c r="D52" s="12" t="str">
        <x:v>待审</x:v>
      </x:c>
      <x:c r="E52" s="12" t="str">
        <x:v>未定</x:v>
      </x:c>
      <x:c r="F52" s="12" t="n">
        <x:v>15</x:v>
      </x:c>
      <x:c r="G52" s="12" t="str">
        <x:v>全部历史</x:v>
      </x:c>
      <x:c r="H52" s="8" t="n">
        <x:v>23</x:v>
      </x:c>
      <x:c r="I52" s="8" t="n">
        <x:v>19</x:v>
      </x:c>
      <x:c r="J52" s="8" t="n">
        <x:v>0</x:v>
      </x:c>
      <x:c r="K52" s="8" t="n">
        <x:v>0</x:v>
      </x:c>
      <x:c r="L52" s="8" t="n">
        <x:f>MAX(0,F52-IF(G52="当前19人",I52,H52))</x:f>
        <x:v>0</x:v>
      </x:c>
      <x:c r="M52" s="8" t="n">
        <x:f>IF(OR(D52="候选纳入",D52="特殊对照"),L52,0)</x:f>
        <x:v>0</x:v>
      </x:c>
      <x:c r="N52" s="8" t="str">
        <x:f>IF(L52&lt;=J52,"可达","人数不足")</x:f>
        <x:v>可达</x:v>
      </x:c>
      <x:c r="O52" s="8" t="str">
        <x:f>IF(AND(F52&lt;15,E52&lt;&gt;"审查确认简单"),"需确认简单","")</x:f>
      </x:c>
      <x:c r="P52" s="8" t="str">
        <x:v>卧室</x:v>
      </x:c>
      <x:c r="Q52" s="8" t="str">
        <x:v>早期争议复核导出.user_type</x:v>
      </x:c>
      <x:c r="R52" s="8" t="str">
        <x:v>已有来源，优先复用</x:v>
      </x:c>
      <x:c r="S52" s="8" t="str">
        <x:v>15号已有23人；02/14两个新目标可补另一个building的卧室证据。</x:v>
      </x:c>
      <x:c r="T52" s="8" t="str">
        <x:v>更近窗但主卧室范围完整</x:v>
      </x:c>
      <x:c r="U52" s="8" t="str">
        <x:v>仅3图，无法像5图组保留同样多的独立评价目标；是否值得投入由覆盖预算决定。</x:v>
      </x:c>
      <x:c r="V52" s="8" t="str">
        <x:v>https://raw.githubusercontent.com/Sparkling-Flames/3D_Manhattan_label/844a4694627e1eacc6bfb48911897335e48ecc17/data/mp3d_layout/test/img/rPc6DW4iMge_9d3eb9f5d38844bfb4e5fb2cd05fd3fd.png</x:v>
      </x:c>
      <x:c r="W52" s="8" t="str">
        <x:v>rPc6DW4iMge_9d3eb9f5d38844bfb4e5fb2cd05fd3fd</x:v>
      </x:c>
    </x:row>
    <x:row r="53" ht="44" customHeight="1">
      <x:c r="A53" s="8" t="str">
        <x:v>G207</x:v>
      </x:c>
      <x:c r="B53" s="8" t="str">
        <x:v>wc2JMjhGNzB</x:v>
      </x:c>
      <x:c r="C53" s="8" t="n">
        <x:v>4</x:v>
      </x:c>
      <x:c r="D53" s="12" t="str">
        <x:v>待审</x:v>
      </x:c>
      <x:c r="E53" s="12" t="str">
        <x:v>未定</x:v>
      </x:c>
      <x:c r="F53" s="12" t="n">
        <x:v>15</x:v>
      </x:c>
      <x:c r="G53" s="12" t="str">
        <x:v>全部历史</x:v>
      </x:c>
      <x:c r="H53" s="8" t="n">
        <x:v>0</x:v>
      </x:c>
      <x:c r="I53" s="8" t="n">
        <x:v>0</x:v>
      </x:c>
      <x:c r="J53" s="8" t="n">
        <x:v>19</x:v>
      </x:c>
      <x:c r="K53" s="8" t="n">
        <x:v>0</x:v>
      </x:c>
      <x:c r="L53" s="8" t="n">
        <x:f>MAX(0,F53-IF(G53="当前19人",I53,H53))</x:f>
        <x:v>15</x:v>
      </x:c>
      <x:c r="M53" s="8" t="n">
        <x:f>IF(OR(D53="候选纳入",D53="特殊对照"),L53,0)</x:f>
        <x:v>0</x:v>
      </x:c>
      <x:c r="N53" s="8" t="str">
        <x:f>IF(L53&lt;=J53,"可达","人数不足")</x:f>
        <x:v>可达</x:v>
      </x:c>
      <x:c r="O53" s="8" t="str">
        <x:f>IF(AND(F53&lt;15,E53&lt;&gt;"审查确认简单"),"需确认简单","")</x:f>
      </x:c>
      <x:c r="P53" s="8" t="str">
        <x:v>待拆解(null)</x:v>
      </x:c>
      <x:c r="Q53" s="8" t="str">
        <x:v>早期争议复核导出.user_type</x:v>
      </x:c>
      <x:c r="R53" s="8" t="str">
        <x:v>优先审查目标（未选定）</x:v>
      </x:c>
      <x:c r="S53" s="8" t="str">
        <x:v>15号已有24人；04/45可比较空房与近衣柜/卫浴门的信息变化。</x:v>
      </x:c>
      <x:c r="T53" s="8" t="str">
        <x:v>遮挡少，卫浴和衣柜透视范围需区分。</x:v>
      </x:c>
      <x:c r="U53" s="8" t="str">
        <x:v>19人全部接触过同房40号Semi；04/15/40粗类在v2为null，45为无法判断，文字称卧室不能代替采用分类。</x:v>
      </x:c>
      <x:c r="V53" s="8" t="str">
        <x:v>https://raw.githubusercontent.com/Sparkling-Flames/3D_Manhattan_label/844a4694627e1eacc6bfb48911897335e48ecc17/data/mp3d_layout/test/img/wc2JMjhGNzB_05e7fcde7a00435ebba65933c1758dde.png</x:v>
      </x:c>
      <x:c r="W53" s="8" t="str">
        <x:v>wc2JMjhGNzB_05e7fcde7a00435ebba65933c1758dde</x:v>
      </x:c>
    </x:row>
    <x:row r="54" ht="44" customHeight="1">
      <x:c r="A54" s="8" t="str">
        <x:v>G207</x:v>
      </x:c>
      <x:c r="B54" s="8" t="str">
        <x:v>wc2JMjhGNzB</x:v>
      </x:c>
      <x:c r="C54" s="8" t="n">
        <x:v>15</x:v>
      </x:c>
      <x:c r="D54" s="12" t="str">
        <x:v>待审</x:v>
      </x:c>
      <x:c r="E54" s="12" t="str">
        <x:v>未定</x:v>
      </x:c>
      <x:c r="F54" s="12" t="n">
        <x:v>15</x:v>
      </x:c>
      <x:c r="G54" s="12" t="str">
        <x:v>全部历史</x:v>
      </x:c>
      <x:c r="H54" s="8" t="n">
        <x:v>24</x:v>
      </x:c>
      <x:c r="I54" s="8" t="n">
        <x:v>19</x:v>
      </x:c>
      <x:c r="J54" s="8" t="n">
        <x:v>0</x:v>
      </x:c>
      <x:c r="K54" s="8" t="n">
        <x:v>0</x:v>
      </x:c>
      <x:c r="L54" s="8" t="n">
        <x:f>MAX(0,F54-IF(G54="当前19人",I54,H54))</x:f>
        <x:v>0</x:v>
      </x:c>
      <x:c r="M54" s="8" t="n">
        <x:f>IF(OR(D54="候选纳入",D54="特殊对照"),L54,0)</x:f>
        <x:v>0</x:v>
      </x:c>
      <x:c r="N54" s="8" t="str">
        <x:f>IF(L54&lt;=J54,"可达","人数不足")</x:f>
        <x:v>可达</x:v>
      </x:c>
      <x:c r="O54" s="8" t="str">
        <x:f>IF(AND(F54&lt;15,E54&lt;&gt;"审查确认简单"),"需确认简单","")</x:f>
      </x:c>
      <x:c r="P54" s="8" t="str">
        <x:v>待拆解(null)</x:v>
      </x:c>
      <x:c r="Q54" s="8" t="str">
        <x:v>早期争议复核导出.user_type</x:v>
      </x:c>
      <x:c r="R54" s="8" t="str">
        <x:v>已有来源，优先复用</x:v>
      </x:c>
      <x:c r="S54" s="8" t="str">
        <x:v>15号已有24人；04/45可比较空房与近衣柜/卫浴门的信息变化。</x:v>
      </x:c>
      <x:c r="T54" s="8" t="str">
        <x:v>近处卫浴门呈现坐便、洗手台及高窗，跨门范围信息比04明显增加。</x:v>
      </x:c>
      <x:c r="U54" s="8" t="str">
        <x:v>19人全部接触过同房40号Semi；04/15/40粗类在v2为null，45为无法判断，文字称卧室不能代替采用分类。</x:v>
      </x:c>
      <x:c r="V54" s="8" t="str">
        <x:v>https://raw.githubusercontent.com/Sparkling-Flames/3D_Manhattan_label/844a4694627e1eacc6bfb48911897335e48ecc17/data/mp3d_layout/test/img/wc2JMjhGNzB_2195c5a9b9fd451b927b0050f23fac31.png</x:v>
      </x:c>
      <x:c r="W54" s="8" t="str">
        <x:v>wc2JMjhGNzB_2195c5a9b9fd451b927b0050f23fac31</x:v>
      </x:c>
    </x:row>
    <x:row r="55" ht="44" customHeight="1">
      <x:c r="A55" s="8" t="str">
        <x:v>G207</x:v>
      </x:c>
      <x:c r="B55" s="8" t="str">
        <x:v>wc2JMjhGNzB</x:v>
      </x:c>
      <x:c r="C55" s="8" t="n">
        <x:v>40</x:v>
      </x:c>
      <x:c r="D55" s="12" t="str">
        <x:v>待审</x:v>
      </x:c>
      <x:c r="E55" s="12" t="str">
        <x:v>未定</x:v>
      </x:c>
      <x:c r="F55" s="12" t="n">
        <x:v>15</x:v>
      </x:c>
      <x:c r="G55" s="12" t="str">
        <x:v>全部历史</x:v>
      </x:c>
      <x:c r="H55" s="8" t="n">
        <x:v>0</x:v>
      </x:c>
      <x:c r="I55" s="8" t="n">
        <x:v>0</x:v>
      </x:c>
      <x:c r="J55" s="8" t="n">
        <x:v>0</x:v>
      </x:c>
      <x:c r="K55" s="8" t="n">
        <x:v>26</x:v>
      </x:c>
      <x:c r="L55" s="8" t="n">
        <x:f>MAX(0,F55-IF(G55="当前19人",I55,H55))</x:f>
        <x:v>15</x:v>
      </x:c>
      <x:c r="M55" s="8" t="n">
        <x:f>IF(OR(D55="候选纳入",D55="特殊对照"),L55,0)</x:f>
        <x:v>0</x:v>
      </x:c>
      <x:c r="N55" s="8" t="str">
        <x:f>IF(L55&lt;=J55,"可达","人数不足")</x:f>
        <x:v>人数不足</x:v>
      </x:c>
      <x:c r="O55" s="8" t="str">
        <x:f>IF(AND(F55&lt;15,E55&lt;&gt;"审查确认简单"),"需确认简单","")</x:f>
      </x:c>
      <x:c r="P55" s="8" t="str">
        <x:v>待拆解(null)</x:v>
      </x:c>
      <x:c r="Q55" s="8" t="str">
        <x:v>早期争议复核导出.user_type</x:v>
      </x:c>
      <x:c r="R55" s="8" t="str">
        <x:v>替代/特殊视点，另审</x:v>
      </x:c>
      <x:c r="S55" s="8" t="str">
        <x:v>15号已有24人；04/45可比较空房与近衣柜/卫浴门的信息变化。</x:v>
      </x:c>
      <x:c r="T55" s="8" t="str">
        <x:v>空墙少遮挡，衣柜/卫浴口和外门可对应。</x:v>
      </x:c>
      <x:c r="U55" s="8" t="str">
        <x:v>19人全部接触过同房40号Semi；04/15/40粗类在v2为null，45为无法判断，文字称卧室不能代替采用分类。</x:v>
      </x:c>
      <x:c r="V55" s="8" t="str">
        <x:v>https://raw.githubusercontent.com/Sparkling-Flames/3D_Manhattan_label/844a4694627e1eacc6bfb48911897335e48ecc17/data/mp3d_layout/test/img/wc2JMjhGNzB_77962388887942148ee65c2892600e02.png</x:v>
      </x:c>
      <x:c r="W55" s="8" t="str">
        <x:v>wc2JMjhGNzB_77962388887942148ee65c2892600e02</x:v>
      </x:c>
    </x:row>
    <x:row r="56" ht="44" customHeight="1">
      <x:c r="A56" s="8" t="str">
        <x:v>G207</x:v>
      </x:c>
      <x:c r="B56" s="8" t="str">
        <x:v>wc2JMjhGNzB</x:v>
      </x:c>
      <x:c r="C56" s="8" t="n">
        <x:v>45</x:v>
      </x:c>
      <x:c r="D56" s="12" t="str">
        <x:v>待审</x:v>
      </x:c>
      <x:c r="E56" s="12" t="str">
        <x:v>未定</x:v>
      </x:c>
      <x:c r="F56" s="12" t="n">
        <x:v>15</x:v>
      </x:c>
      <x:c r="G56" s="12" t="str">
        <x:v>全部历史</x:v>
      </x:c>
      <x:c r="H56" s="8" t="n">
        <x:v>0</x:v>
      </x:c>
      <x:c r="I56" s="8" t="n">
        <x:v>0</x:v>
      </x:c>
      <x:c r="J56" s="8" t="n">
        <x:v>19</x:v>
      </x:c>
      <x:c r="K56" s="8" t="n">
        <x:v>0</x:v>
      </x:c>
      <x:c r="L56" s="8" t="n">
        <x:f>MAX(0,F56-IF(G56="当前19人",I56,H56))</x:f>
        <x:v>15</x:v>
      </x:c>
      <x:c r="M56" s="8" t="n">
        <x:f>IF(OR(D56="候选纳入",D56="特殊对照"),L56,0)</x:f>
        <x:v>0</x:v>
      </x:c>
      <x:c r="N56" s="8" t="str">
        <x:f>IF(L56&lt;=J56,"可达","人数不足")</x:f>
        <x:v>可达</x:v>
      </x:c>
      <x:c r="O56" s="8" t="str">
        <x:f>IF(AND(F56&lt;15,E56&lt;&gt;"审查确认简单"),"需确认简单","")</x:f>
      </x:c>
      <x:c r="P56" s="8" t="str">
        <x:v>无法判断</x:v>
      </x:c>
      <x:c r="Q56" s="8" t="str">
        <x:v>后续41图亲审.current_classification.coarse_type</x:v>
      </x:c>
      <x:c r="R56" s="8" t="str">
        <x:v>优先审查目标（未选定）</x:v>
      </x:c>
      <x:c r="S56" s="8" t="str">
        <x:v>15号已有24人；04/45可比较空房与近衣柜/卫浴门的信息变化。</x:v>
      </x:c>
      <x:c r="T56" s="8" t="str">
        <x:v>衣柜内信息较多，门边近景遮挡不同，主体仍空卧室。</x:v>
      </x:c>
      <x:c r="U56" s="8" t="str">
        <x:v>19人全部接触过同房40号Semi；04/15/40粗类在v2为null，45为无法判断，文字称卧室不能代替采用分类。</x:v>
      </x:c>
      <x:c r="V56" s="8" t="str">
        <x:v>https://raw.githubusercontent.com/Sparkling-Flames/3D_Manhattan_label/844a4694627e1eacc6bfb48911897335e48ecc17/data/mp3d_layout/test/img/wc2JMjhGNzB_8e093e32e55c4a5dbf453b5e2bf2b24c.png</x:v>
      </x:c>
      <x:c r="W56" s="8" t="str">
        <x:v>wc2JMjhGNzB_8e093e32e55c4a5dbf453b5e2bf2b24c</x:v>
      </x:c>
    </x:row>
    <x:row r="57" ht="44" customHeight="1">
      <x:c r="A57" s="8" t="str">
        <x:v>G141</x:v>
      </x:c>
      <x:c r="B57" s="8" t="str">
        <x:v>pa4otMbVnkk</x:v>
      </x:c>
      <x:c r="C57" s="8" t="n">
        <x:v>17</x:v>
      </x:c>
      <x:c r="D57" s="12" t="str">
        <x:v>待审</x:v>
      </x:c>
      <x:c r="E57" s="12" t="str">
        <x:v>未定</x:v>
      </x:c>
      <x:c r="F57" s="12" t="n">
        <x:v>15</x:v>
      </x:c>
      <x:c r="G57" s="12" t="str">
        <x:v>全部历史</x:v>
      </x:c>
      <x:c r="H57" s="8" t="n">
        <x:v>3</x:v>
      </x:c>
      <x:c r="I57" s="8" t="n">
        <x:v>3</x:v>
      </x:c>
      <x:c r="J57" s="8" t="n">
        <x:v>16</x:v>
      </x:c>
      <x:c r="K57" s="8" t="n">
        <x:v>0</x:v>
      </x:c>
      <x:c r="L57" s="8" t="n">
        <x:f>MAX(0,F57-IF(G57="当前19人",I57,H57))</x:f>
        <x:v>12</x:v>
      </x:c>
      <x:c r="M57" s="8" t="n">
        <x:f>IF(OR(D57="候选纳入",D57="特殊对照"),L57,0)</x:f>
        <x:v>0</x:v>
      </x:c>
      <x:c r="N57" s="8" t="str">
        <x:f>IF(L57&lt;=J57,"可达","人数不足")</x:f>
        <x:v>可达</x:v>
      </x:c>
      <x:c r="O57" s="8" t="str">
        <x:f>IF(AND(F57&lt;15,E57&lt;&gt;"审查确认简单"),"需确认简单","")</x:f>
      </x:c>
      <x:c r="P57" s="8" t="str">
        <x:v>起居与休闲</x:v>
      </x:c>
      <x:c r="Q57" s="8" t="str">
        <x:v>早期争议复核导出.user_type</x:v>
      </x:c>
      <x:c r="R57" s="8" t="str">
        <x:v>已有来源，优先复用</x:v>
      </x:c>
      <x:c r="S57" s="8" t="str">
        <x:v>17号已有3人；红墙客厅、突出墙体、窗侧与入口视点，可补起居类与另一building。</x:v>
      </x:c>
      <x:c r="T57" s="8" t="str">
        <x:v>宽门洞连大厅，沙发遮挡</x:v>
      </x:c>
      <x:c r="U57" s="8" t="str">
        <x:v>没有密集来源，需要把来源本身的新增采集计入预算。</x:v>
      </x:c>
      <x:c r="V57" s="8" t="str">
        <x:v>https://raw.githubusercontent.com/Sparkling-Flames/3D_Manhattan_label/844a4694627e1eacc6bfb48911897335e48ecc17/data/mp3d_layout/valid/img/pa4otMbVnkk_63bde48e974d42e59a664bc3b5d9566a.png</x:v>
      </x:c>
      <x:c r="W57" s="8" t="str">
        <x:v>pa4otMbVnkk_63bde48e974d42e59a664bc3b5d9566a</x:v>
      </x:c>
    </x:row>
    <x:row r="58" ht="44" customHeight="1">
      <x:c r="A58" s="8" t="str">
        <x:v>G141</x:v>
      </x:c>
      <x:c r="B58" s="8" t="str">
        <x:v>pa4otMbVnkk</x:v>
      </x:c>
      <x:c r="C58" s="8" t="n">
        <x:v>23</x:v>
      </x:c>
      <x:c r="D58" s="12" t="str">
        <x:v>待审</x:v>
      </x:c>
      <x:c r="E58" s="12" t="str">
        <x:v>未定</x:v>
      </x:c>
      <x:c r="F58" s="12" t="n">
        <x:v>15</x:v>
      </x:c>
      <x:c r="G58" s="12" t="str">
        <x:v>全部历史</x:v>
      </x:c>
      <x:c r="H58" s="8" t="n">
        <x:v>0</x:v>
      </x:c>
      <x:c r="I58" s="8" t="n">
        <x:v>0</x:v>
      </x:c>
      <x:c r="J58" s="8" t="n">
        <x:v>19</x:v>
      </x:c>
      <x:c r="K58" s="8" t="n">
        <x:v>0</x:v>
      </x:c>
      <x:c r="L58" s="8" t="n">
        <x:f>MAX(0,F58-IF(G58="当前19人",I58,H58))</x:f>
        <x:v>15</x:v>
      </x:c>
      <x:c r="M58" s="8" t="n">
        <x:f>IF(OR(D58="候选纳入",D58="特殊对照"),L58,0)</x:f>
        <x:v>0</x:v>
      </x:c>
      <x:c r="N58" s="8" t="str">
        <x:f>IF(L58&lt;=J58,"可达","人数不足")</x:f>
        <x:v>可达</x:v>
      </x:c>
      <x:c r="O58" s="8" t="str">
        <x:f>IF(AND(F58&lt;15,E58&lt;&gt;"审查确认简单"),"需确认简单","")</x:f>
      </x:c>
      <x:c r="P58" s="8" t="str">
        <x:v>起居与休闲</x:v>
      </x:c>
      <x:c r="Q58" s="8" t="str">
        <x:v>早期争议复核导出.user_type</x:v>
      </x:c>
      <x:c r="R58" s="8" t="str">
        <x:v>优先审查目标（未选定）</x:v>
      </x:c>
      <x:c r="S58" s="8" t="str">
        <x:v>17号已有3人；红墙客厅、突出墙体、窗侧与入口视点，可补起居类与另一building。</x:v>
      </x:c>
      <x:c r="T58" s="8" t="str">
        <x:v>靠沙发侧视点，局部墙角遮挡</x:v>
      </x:c>
      <x:c r="U58" s="8" t="str">
        <x:v>没有密集来源，需要把来源本身的新增采集计入预算。</x:v>
      </x:c>
      <x:c r="V58" s="8" t="str">
        <x:v>https://raw.githubusercontent.com/Sparkling-Flames/3D_Manhattan_label/844a4694627e1eacc6bfb48911897335e48ecc17/data/mp3d_layout/valid/img/pa4otMbVnkk_82f4e9ccd0ef4351a3d814f1222b03cc.png</x:v>
      </x:c>
      <x:c r="W58" s="8" t="str">
        <x:v>pa4otMbVnkk_82f4e9ccd0ef4351a3d814f1222b03cc</x:v>
      </x:c>
    </x:row>
    <x:row r="59" ht="44" customHeight="1">
      <x:c r="A59" s="8" t="str">
        <x:v>G141</x:v>
      </x:c>
      <x:c r="B59" s="8" t="str">
        <x:v>pa4otMbVnkk</x:v>
      </x:c>
      <x:c r="C59" s="8" t="n">
        <x:v>25</x:v>
      </x:c>
      <x:c r="D59" s="12" t="str">
        <x:v>待审</x:v>
      </x:c>
      <x:c r="E59" s="12" t="str">
        <x:v>未定</x:v>
      </x:c>
      <x:c r="F59" s="12" t="n">
        <x:v>15</x:v>
      </x:c>
      <x:c r="G59" s="12" t="str">
        <x:v>全部历史</x:v>
      </x:c>
      <x:c r="H59" s="8" t="n">
        <x:v>0</x:v>
      </x:c>
      <x:c r="I59" s="8" t="n">
        <x:v>0</x:v>
      </x:c>
      <x:c r="J59" s="8" t="n">
        <x:v>19</x:v>
      </x:c>
      <x:c r="K59" s="8" t="n">
        <x:v>0</x:v>
      </x:c>
      <x:c r="L59" s="8" t="n">
        <x:f>MAX(0,F59-IF(G59="当前19人",I59,H59))</x:f>
        <x:v>15</x:v>
      </x:c>
      <x:c r="M59" s="8" t="n">
        <x:f>IF(OR(D59="候选纳入",D59="特殊对照"),L59,0)</x:f>
        <x:v>0</x:v>
      </x:c>
      <x:c r="N59" s="8" t="str">
        <x:f>IF(L59&lt;=J59,"可达","人数不足")</x:f>
        <x:v>可达</x:v>
      </x:c>
      <x:c r="O59" s="8" t="str">
        <x:f>IF(AND(F59&lt;15,E59&lt;&gt;"审查确认简单"),"需确认简单","")</x:f>
      </x:c>
      <x:c r="P59" s="8" t="str">
        <x:v>起居与休闲</x:v>
      </x:c>
      <x:c r="Q59" s="8" t="str">
        <x:v>早期争议复核导出.user_type</x:v>
      </x:c>
      <x:c r="R59" s="8" t="str">
        <x:v>优先审查目标（未选定）</x:v>
      </x:c>
      <x:c r="S59" s="8" t="str">
        <x:v>17号已有3人；红墙客厅、突出墙体、窗侧与入口视点，可补起居类与另一building。</x:v>
      </x:c>
      <x:c r="T59" s="8" t="str">
        <x:v>从窗侧看全厅，家具遮挡</x:v>
      </x:c>
      <x:c r="U59" s="8" t="str">
        <x:v>没有密集来源，需要把来源本身的新增采集计入预算。</x:v>
      </x:c>
      <x:c r="V59" s="8" t="str">
        <x:v>https://raw.githubusercontent.com/Sparkling-Flames/3D_Manhattan_label/844a4694627e1eacc6bfb48911897335e48ecc17/data/mp3d_layout/valid/img/pa4otMbVnkk_867c64cd8f474949bcd87100dc18c2d4.png</x:v>
      </x:c>
      <x:c r="W59" s="8" t="str">
        <x:v>pa4otMbVnkk_867c64cd8f474949bcd87100dc18c2d4</x:v>
      </x:c>
    </x:row>
    <x:row r="60" ht="44" customHeight="1">
      <x:c r="A60" s="8" t="str">
        <x:v>G141</x:v>
      </x:c>
      <x:c r="B60" s="8" t="str">
        <x:v>pa4otMbVnkk</x:v>
      </x:c>
      <x:c r="C60" s="8" t="n">
        <x:v>29</x:v>
      </x:c>
      <x:c r="D60" s="12" t="str">
        <x:v>待审</x:v>
      </x:c>
      <x:c r="E60" s="12" t="str">
        <x:v>未定</x:v>
      </x:c>
      <x:c r="F60" s="12" t="n">
        <x:v>15</x:v>
      </x:c>
      <x:c r="G60" s="12" t="str">
        <x:v>全部历史</x:v>
      </x:c>
      <x:c r="H60" s="8" t="n">
        <x:v>0</x:v>
      </x:c>
      <x:c r="I60" s="8" t="n">
        <x:v>0</x:v>
      </x:c>
      <x:c r="J60" s="8" t="n">
        <x:v>19</x:v>
      </x:c>
      <x:c r="K60" s="8" t="n">
        <x:v>0</x:v>
      </x:c>
      <x:c r="L60" s="8" t="n">
        <x:f>MAX(0,F60-IF(G60="当前19人",I60,H60))</x:f>
        <x:v>15</x:v>
      </x:c>
      <x:c r="M60" s="8" t="n">
        <x:f>IF(OR(D60="候选纳入",D60="特殊对照"),L60,0)</x:f>
        <x:v>0</x:v>
      </x:c>
      <x:c r="N60" s="8" t="str">
        <x:f>IF(L60&lt;=J60,"可达","人数不足")</x:f>
        <x:v>可达</x:v>
      </x:c>
      <x:c r="O60" s="8" t="str">
        <x:f>IF(AND(F60&lt;15,E60&lt;&gt;"审查确认简单"),"需确认简单","")</x:f>
      </x:c>
      <x:c r="P60" s="8" t="str">
        <x:v>起居与休闲</x:v>
      </x:c>
      <x:c r="Q60" s="8" t="str">
        <x:v>早期争议复核导出.user_type</x:v>
      </x:c>
      <x:c r="R60" s="8" t="str">
        <x:v>优先审查目标（未选定）</x:v>
      </x:c>
      <x:c r="S60" s="8" t="str">
        <x:v>17号已有3人；红墙客厅、突出墙体、窗侧与入口视点，可补起居类与另一building。</x:v>
      </x:c>
      <x:c r="T60" s="8" t="str">
        <x:v>靠远端窗侧，家具遮挡更重</x:v>
      </x:c>
      <x:c r="U60" s="8" t="str">
        <x:v>没有密集来源，需要把来源本身的新增采集计入预算。</x:v>
      </x:c>
      <x:c r="V60" s="8" t="str">
        <x:v>https://raw.githubusercontent.com/Sparkling-Flames/3D_Manhattan_label/844a4694627e1eacc6bfb48911897335e48ecc17/data/mp3d_layout/valid/img/pa4otMbVnkk_8d9a72e210cd480a897945c465e5cade.png</x:v>
      </x:c>
      <x:c r="W60" s="8" t="str">
        <x:v>pa4otMbVnkk_8d9a72e210cd480a897945c465e5cade</x:v>
      </x:c>
    </x:row>
    <x:row r="61" ht="44" customHeight="1">
      <x:c r="A61" s="8" t="str">
        <x:v>G141</x:v>
      </x:c>
      <x:c r="B61" s="8" t="str">
        <x:v>pa4otMbVnkk</x:v>
      </x:c>
      <x:c r="C61" s="8" t="n">
        <x:v>37</x:v>
      </x:c>
      <x:c r="D61" s="12" t="str">
        <x:v>待审</x:v>
      </x:c>
      <x:c r="E61" s="12" t="str">
        <x:v>未定</x:v>
      </x:c>
      <x:c r="F61" s="12" t="n">
        <x:v>15</x:v>
      </x:c>
      <x:c r="G61" s="12" t="str">
        <x:v>全部历史</x:v>
      </x:c>
      <x:c r="H61" s="8" t="n">
        <x:v>0</x:v>
      </x:c>
      <x:c r="I61" s="8" t="n">
        <x:v>0</x:v>
      </x:c>
      <x:c r="J61" s="8" t="n">
        <x:v>19</x:v>
      </x:c>
      <x:c r="K61" s="8" t="n">
        <x:v>0</x:v>
      </x:c>
      <x:c r="L61" s="8" t="n">
        <x:f>MAX(0,F61-IF(G61="当前19人",I61,H61))</x:f>
        <x:v>15</x:v>
      </x:c>
      <x:c r="M61" s="8" t="n">
        <x:f>IF(OR(D61="候选纳入",D61="特殊对照"),L61,0)</x:f>
        <x:v>0</x:v>
      </x:c>
      <x:c r="N61" s="8" t="str">
        <x:f>IF(L61&lt;=J61,"可达","人数不足")</x:f>
        <x:v>可达</x:v>
      </x:c>
      <x:c r="O61" s="8" t="str">
        <x:f>IF(AND(F61&lt;15,E61&lt;&gt;"审查确认简单"),"需确认简单","")</x:f>
      </x:c>
      <x:c r="P61" s="8" t="str">
        <x:v>起居与休闲</x:v>
      </x:c>
      <x:c r="Q61" s="8" t="str">
        <x:v>早期争议复核导出.user_type</x:v>
      </x:c>
      <x:c r="R61" s="8" t="str">
        <x:v>优先审查目标（未选定）</x:v>
      </x:c>
      <x:c r="S61" s="8" t="str">
        <x:v>17号已有3人；红墙客厅、突出墙体、窗侧与入口视点，可补起居类与另一building。</x:v>
      </x:c>
      <x:c r="T61" s="8" t="str">
        <x:v>接近大厅开口，客厅仍完整</x:v>
      </x:c>
      <x:c r="U61" s="8" t="str">
        <x:v>没有密集来源，需要把来源本身的新增采集计入预算。</x:v>
      </x:c>
      <x:c r="V61" s="8" t="str">
        <x:v>https://raw.githubusercontent.com/Sparkling-Flames/3D_Manhattan_label/844a4694627e1eacc6bfb48911897335e48ecc17/data/mp3d_layout/valid/img/pa4otMbVnkk_b8245307c038459a9df432be2341ec27.png</x:v>
      </x:c>
      <x:c r="W61" s="8" t="str">
        <x:v>pa4otMbVnkk_b8245307c038459a9df432be2341ec27</x:v>
      </x:c>
    </x:row>
    <x:row r="62" ht="44" customHeight="1">
      <x:c r="A62" s="8" t="str">
        <x:v>G141</x:v>
      </x:c>
      <x:c r="B62" s="8" t="str">
        <x:v>pa4otMbVnkk</x:v>
      </x:c>
      <x:c r="C62" s="8" t="n">
        <x:v>41</x:v>
      </x:c>
      <x:c r="D62" s="12" t="str">
        <x:v>待审</x:v>
      </x:c>
      <x:c r="E62" s="12" t="str">
        <x:v>未定</x:v>
      </x:c>
      <x:c r="F62" s="12" t="n">
        <x:v>15</x:v>
      </x:c>
      <x:c r="G62" s="12" t="str">
        <x:v>全部历史</x:v>
      </x:c>
      <x:c r="H62" s="8" t="n">
        <x:v>0</x:v>
      </x:c>
      <x:c r="I62" s="8" t="n">
        <x:v>0</x:v>
      </x:c>
      <x:c r="J62" s="8" t="n">
        <x:v>19</x:v>
      </x:c>
      <x:c r="K62" s="8" t="n">
        <x:v>0</x:v>
      </x:c>
      <x:c r="L62" s="8" t="n">
        <x:f>MAX(0,F62-IF(G62="当前19人",I62,H62))</x:f>
        <x:v>15</x:v>
      </x:c>
      <x:c r="M62" s="8" t="n">
        <x:f>IF(OR(D62="候选纳入",D62="特殊对照"),L62,0)</x:f>
        <x:v>0</x:v>
      </x:c>
      <x:c r="N62" s="8" t="str">
        <x:f>IF(L62&lt;=J62,"可达","人数不足")</x:f>
        <x:v>可达</x:v>
      </x:c>
      <x:c r="O62" s="8" t="str">
        <x:f>IF(AND(F62&lt;15,E62&lt;&gt;"审查确认简单"),"需确认简单","")</x:f>
      </x:c>
      <x:c r="P62" s="8" t="str">
        <x:v>起居与休闲</x:v>
      </x:c>
      <x:c r="Q62" s="8" t="str">
        <x:v>早期争议复核导出.user_type</x:v>
      </x:c>
      <x:c r="R62" s="8" t="str">
        <x:v>优先审查目标（未选定）</x:v>
      </x:c>
      <x:c r="S62" s="8" t="str">
        <x:v>17号已有3人；红墙客厅、突出墙体、窗侧与入口视点，可补起居类与另一building。</x:v>
      </x:c>
      <x:c r="T62" s="8" t="str">
        <x:v>靠窗和餐厅门，客厅远端遮挡</x:v>
      </x:c>
      <x:c r="U62" s="8" t="str">
        <x:v>没有密集来源，需要把来源本身的新增采集计入预算。</x:v>
      </x:c>
      <x:c r="V62" s="8" t="str">
        <x:v>https://raw.githubusercontent.com/Sparkling-Flames/3D_Manhattan_label/844a4694627e1eacc6bfb48911897335e48ecc17/data/mp3d_layout/valid/img/pa4otMbVnkk_e976f604378648b3bd1d1ed1e9638294.png</x:v>
      </x:c>
      <x:c r="W62" s="8" t="str">
        <x:v>pa4otMbVnkk_e976f604378648b3bd1d1ed1e9638294</x:v>
      </x:c>
    </x:row>
    <x:row r="63" ht="44" customHeight="1">
      <x:c r="A63" s="8" t="str">
        <x:v>G205</x:v>
      </x:c>
      <x:c r="B63" s="8" t="str">
        <x:v>wc2JMjhGNzB</x:v>
      </x:c>
      <x:c r="C63" s="8" t="n">
        <x:v>3</x:v>
      </x:c>
      <x:c r="D63" s="12" t="str">
        <x:v>待审</x:v>
      </x:c>
      <x:c r="E63" s="12" t="str">
        <x:v>未定</x:v>
      </x:c>
      <x:c r="F63" s="12" t="n">
        <x:v>15</x:v>
      </x:c>
      <x:c r="G63" s="12" t="str">
        <x:v>全部历史</x:v>
      </x:c>
      <x:c r="H63" s="8" t="n">
        <x:v>5</x:v>
      </x:c>
      <x:c r="I63" s="8" t="n">
        <x:v>5</x:v>
      </x:c>
      <x:c r="J63" s="8" t="n">
        <x:v>14</x:v>
      </x:c>
      <x:c r="K63" s="8" t="n">
        <x:v>0</x:v>
      </x:c>
      <x:c r="L63" s="8" t="n">
        <x:f>MAX(0,F63-IF(G63="当前19人",I63,H63))</x:f>
        <x:v>10</x:v>
      </x:c>
      <x:c r="M63" s="8" t="n">
        <x:f>IF(OR(D63="候选纳入",D63="特殊对照"),L63,0)</x:f>
        <x:v>0</x:v>
      </x:c>
      <x:c r="N63" s="8" t="str">
        <x:f>IF(L63&lt;=J63,"可达","人数不足")</x:f>
        <x:v>可达</x:v>
      </x:c>
      <x:c r="O63" s="8" t="str">
        <x:f>IF(AND(F63&lt;15,E63&lt;&gt;"审查确认简单"),"需确认简单","")</x:f>
      </x:c>
      <x:c r="P63" s="8" t="str">
        <x:v>卧室</x:v>
      </x:c>
      <x:c r="Q63" s="8" t="str">
        <x:v>早期争议复核导出.user_type</x:v>
      </x:c>
      <x:c r="R63" s="8" t="str">
        <x:v>已有来源，优先复用</x:v>
      </x:c>
      <x:c r="S63" s="8" t="str">
        <x:v>03与54各有5人；03先补到15更节约，22/29/61提供床侧/书桌/短廊口变化。</x:v>
      </x:c>
      <x:c r="T63" s="8" t="str">
        <x:v>床及书桌遮挡下角；短廊是否并入存在范围解释。</x:v>
      </x:c>
      <x:c r="U63" s="8" t="str">
        <x:v>54另有Semi接触，当前19人清洁Manual容量为16，不承诺19。组内预期相近仍含短廊范围解释。</x:v>
      </x:c>
      <x:c r="V63" s="8" t="str">
        <x:v>https://raw.githubusercontent.com/Sparkling-Flames/3D_Manhattan_label/844a4694627e1eacc6bfb48911897335e48ecc17/data/mp3d_layout/test/img/wc2JMjhGNzB_03c1aca95e254bf4b0db303a28d79aee.png</x:v>
      </x:c>
      <x:c r="W63" s="8" t="str">
        <x:v>wc2JMjhGNzB_03c1aca95e254bf4b0db303a28d79aee</x:v>
      </x:c>
    </x:row>
    <x:row r="64" ht="44" customHeight="1">
      <x:c r="A64" s="8" t="str">
        <x:v>G205</x:v>
      </x:c>
      <x:c r="B64" s="8" t="str">
        <x:v>wc2JMjhGNzB</x:v>
      </x:c>
      <x:c r="C64" s="8" t="n">
        <x:v>22</x:v>
      </x:c>
      <x:c r="D64" s="12" t="str">
        <x:v>待审</x:v>
      </x:c>
      <x:c r="E64" s="12" t="str">
        <x:v>未定</x:v>
      </x:c>
      <x:c r="F64" s="12" t="n">
        <x:v>15</x:v>
      </x:c>
      <x:c r="G64" s="12" t="str">
        <x:v>全部历史</x:v>
      </x:c>
      <x:c r="H64" s="8" t="n">
        <x:v>0</x:v>
      </x:c>
      <x:c r="I64" s="8" t="n">
        <x:v>0</x:v>
      </x:c>
      <x:c r="J64" s="8" t="n">
        <x:v>19</x:v>
      </x:c>
      <x:c r="K64" s="8" t="n">
        <x:v>0</x:v>
      </x:c>
      <x:c r="L64" s="8" t="n">
        <x:f>MAX(0,F64-IF(G64="当前19人",I64,H64))</x:f>
        <x:v>15</x:v>
      </x:c>
      <x:c r="M64" s="8" t="n">
        <x:f>IF(OR(D64="候选纳入",D64="特殊对照"),L64,0)</x:f>
        <x:v>0</x:v>
      </x:c>
      <x:c r="N64" s="8" t="str">
        <x:f>IF(L64&lt;=J64,"可达","人数不足")</x:f>
        <x:v>可达</x:v>
      </x:c>
      <x:c r="O64" s="8" t="str">
        <x:f>IF(AND(F64&lt;15,E64&lt;&gt;"审查确认简单"),"需确认简单","")</x:f>
      </x:c>
      <x:c r="P64" s="8" t="str">
        <x:v>卧室</x:v>
      </x:c>
      <x:c r="Q64" s="8" t="str">
        <x:v>早期争议复核导出.user_type</x:v>
      </x:c>
      <x:c r="R64" s="8" t="str">
        <x:v>优先审查目标（未选定）</x:v>
      </x:c>
      <x:c r="S64" s="8" t="str">
        <x:v>03与54各有5人；03先补到15更节约，22/29/61提供床侧/书桌/短廊口变化。</x:v>
      </x:c>
      <x:c r="T64" s="8" t="str">
        <x:v>近床遮挡下部信息较多；不因靠床改变主空间。</x:v>
      </x:c>
      <x:c r="U64" s="8" t="str">
        <x:v>54另有Semi接触，当前19人清洁Manual容量为16，不承诺19。组内预期相近仍含短廊范围解释。</x:v>
      </x:c>
      <x:c r="V64" s="8" t="str">
        <x:v>https://raw.githubusercontent.com/Sparkling-Flames/3D_Manhattan_label/844a4694627e1eacc6bfb48911897335e48ecc17/data/mp3d_layout/test/img/wc2JMjhGNzB_3a035012369c4eb58295238d946fbc66.png</x:v>
      </x:c>
      <x:c r="W64" s="8" t="str">
        <x:v>wc2JMjhGNzB_3a035012369c4eb58295238d946fbc66</x:v>
      </x:c>
    </x:row>
    <x:row r="65" ht="44" customHeight="1">
      <x:c r="A65" s="8" t="str">
        <x:v>G205</x:v>
      </x:c>
      <x:c r="B65" s="8" t="str">
        <x:v>wc2JMjhGNzB</x:v>
      </x:c>
      <x:c r="C65" s="8" t="n">
        <x:v>29</x:v>
      </x:c>
      <x:c r="D65" s="12" t="str">
        <x:v>待审</x:v>
      </x:c>
      <x:c r="E65" s="12" t="str">
        <x:v>未定</x:v>
      </x:c>
      <x:c r="F65" s="12" t="n">
        <x:v>15</x:v>
      </x:c>
      <x:c r="G65" s="12" t="str">
        <x:v>全部历史</x:v>
      </x:c>
      <x:c r="H65" s="8" t="n">
        <x:v>0</x:v>
      </x:c>
      <x:c r="I65" s="8" t="n">
        <x:v>0</x:v>
      </x:c>
      <x:c r="J65" s="8" t="n">
        <x:v>19</x:v>
      </x:c>
      <x:c r="K65" s="8" t="n">
        <x:v>0</x:v>
      </x:c>
      <x:c r="L65" s="8" t="n">
        <x:f>MAX(0,F65-IF(G65="当前19人",I65,H65))</x:f>
        <x:v>15</x:v>
      </x:c>
      <x:c r="M65" s="8" t="n">
        <x:f>IF(OR(D65="候选纳入",D65="特殊对照"),L65,0)</x:f>
        <x:v>0</x:v>
      </x:c>
      <x:c r="N65" s="8" t="str">
        <x:f>IF(L65&lt;=J65,"可达","人数不足")</x:f>
        <x:v>可达</x:v>
      </x:c>
      <x:c r="O65" s="8" t="str">
        <x:f>IF(AND(F65&lt;15,E65&lt;&gt;"审查确认简单"),"需确认简单","")</x:f>
      </x:c>
      <x:c r="P65" s="8" t="str">
        <x:v>卧室</x:v>
      </x:c>
      <x:c r="Q65" s="8" t="str">
        <x:v>早期争议复核导出.user_type</x:v>
      </x:c>
      <x:c r="R65" s="8" t="str">
        <x:v>优先审查目标（未选定）</x:v>
      </x:c>
      <x:c r="S65" s="8" t="str">
        <x:v>03与54各有5人；03先补到15更节约，22/29/61提供床侧/书桌/短廊口变化。</x:v>
      </x:c>
      <x:c r="T65" s="8" t="str">
        <x:v>桌椅靠近但卧室四周可对应；附属短廊仍需区分。</x:v>
      </x:c>
      <x:c r="U65" s="8" t="str">
        <x:v>54另有Semi接触，当前19人清洁Manual容量为16，不承诺19。组内预期相近仍含短廊范围解释。</x:v>
      </x:c>
      <x:c r="V65" s="8" t="str">
        <x:v>https://raw.githubusercontent.com/Sparkling-Flames/3D_Manhattan_label/844a4694627e1eacc6bfb48911897335e48ecc17/data/mp3d_layout/test/img/wc2JMjhGNzB_52ed6a0219e84a0bb6db8037ae700366.png</x:v>
      </x:c>
      <x:c r="W65" s="8" t="str">
        <x:v>wc2JMjhGNzB_52ed6a0219e84a0bb6db8037ae700366</x:v>
      </x:c>
    </x:row>
    <x:row r="66" ht="44" customHeight="1">
      <x:c r="A66" s="8" t="str">
        <x:v>G205</x:v>
      </x:c>
      <x:c r="B66" s="8" t="str">
        <x:v>wc2JMjhGNzB</x:v>
      </x:c>
      <x:c r="C66" s="8" t="n">
        <x:v>54</x:v>
      </x:c>
      <x:c r="D66" s="12" t="str">
        <x:v>待审</x:v>
      </x:c>
      <x:c r="E66" s="12" t="str">
        <x:v>未定</x:v>
      </x:c>
      <x:c r="F66" s="12" t="n">
        <x:v>15</x:v>
      </x:c>
      <x:c r="G66" s="12" t="str">
        <x:v>全部历史</x:v>
      </x:c>
      <x:c r="H66" s="8" t="n">
        <x:v>5</x:v>
      </x:c>
      <x:c r="I66" s="8" t="n">
        <x:v>5</x:v>
      </x:c>
      <x:c r="J66" s="8" t="n">
        <x:v>11</x:v>
      </x:c>
      <x:c r="K66" s="8" t="n">
        <x:v>4</x:v>
      </x:c>
      <x:c r="L66" s="8" t="n">
        <x:f>MAX(0,F66-IF(G66="当前19人",I66,H66))</x:f>
        <x:v>10</x:v>
      </x:c>
      <x:c r="M66" s="8" t="n">
        <x:f>IF(OR(D66="候选纳入",D66="特殊对照"),L66,0)</x:f>
        <x:v>0</x:v>
      </x:c>
      <x:c r="N66" s="8" t="str">
        <x:f>IF(L66&lt;=J66,"可达","人数不足")</x:f>
        <x:v>可达</x:v>
      </x:c>
      <x:c r="O66" s="8" t="str">
        <x:f>IF(AND(F66&lt;15,E66&lt;&gt;"审查确认简单"),"需确认简单","")</x:f>
      </x:c>
      <x:c r="P66" s="8" t="str">
        <x:v>卧室</x:v>
      </x:c>
      <x:c r="Q66" s="8" t="str">
        <x:v>早期争议复核导出.user_type</x:v>
      </x:c>
      <x:c r="R66" s="8" t="str">
        <x:v>替代/特殊视点，另审</x:v>
      </x:c>
      <x:c r="S66" s="8" t="str">
        <x:v>03与54各有5人；03先补到15更节约，22/29/61提供床侧/书桌/短廊口变化。</x:v>
      </x:c>
      <x:c r="T66" s="8" t="str">
        <x:v>外门与床下角可见度变化；主空间一致。</x:v>
      </x:c>
      <x:c r="U66" s="8" t="str">
        <x:v>54另有Semi接触，当前19人清洁Manual容量为16，不承诺19。组内预期相近仍含短廊范围解释。</x:v>
      </x:c>
      <x:c r="V66" s="8" t="str">
        <x:v>https://raw.githubusercontent.com/Sparkling-Flames/3D_Manhattan_label/844a4694627e1eacc6bfb48911897335e48ecc17/data/mp3d_layout/test/img/wc2JMjhGNzB_c7c84bf01a834489ad11d8450a7dc2bc.png</x:v>
      </x:c>
      <x:c r="W66" s="8" t="str">
        <x:v>wc2JMjhGNzB_c7c84bf01a834489ad11d8450a7dc2bc</x:v>
      </x:c>
    </x:row>
    <x:row r="67" ht="44" customHeight="1">
      <x:c r="A67" s="8" t="str">
        <x:v>G205</x:v>
      </x:c>
      <x:c r="B67" s="8" t="str">
        <x:v>wc2JMjhGNzB</x:v>
      </x:c>
      <x:c r="C67" s="8" t="n">
        <x:v>61</x:v>
      </x:c>
      <x:c r="D67" s="12" t="str">
        <x:v>待审</x:v>
      </x:c>
      <x:c r="E67" s="12" t="str">
        <x:v>未定</x:v>
      </x:c>
      <x:c r="F67" s="12" t="n">
        <x:v>15</x:v>
      </x:c>
      <x:c r="G67" s="12" t="str">
        <x:v>全部历史</x:v>
      </x:c>
      <x:c r="H67" s="8" t="n">
        <x:v>0</x:v>
      </x:c>
      <x:c r="I67" s="8" t="n">
        <x:v>0</x:v>
      </x:c>
      <x:c r="J67" s="8" t="n">
        <x:v>19</x:v>
      </x:c>
      <x:c r="K67" s="8" t="n">
        <x:v>0</x:v>
      </x:c>
      <x:c r="L67" s="8" t="n">
        <x:f>MAX(0,F67-IF(G67="当前19人",I67,H67))</x:f>
        <x:v>15</x:v>
      </x:c>
      <x:c r="M67" s="8" t="n">
        <x:f>IF(OR(D67="候选纳入",D67="特殊对照"),L67,0)</x:f>
        <x:v>0</x:v>
      </x:c>
      <x:c r="N67" s="8" t="str">
        <x:f>IF(L67&lt;=J67,"可达","人数不足")</x:f>
        <x:v>可达</x:v>
      </x:c>
      <x:c r="O67" s="8" t="str">
        <x:f>IF(AND(F67&lt;15,E67&lt;&gt;"审查确认简单"),"需确认简单","")</x:f>
      </x:c>
      <x:c r="P67" s="8" t="str">
        <x:v>卧室</x:v>
      </x:c>
      <x:c r="Q67" s="8" t="str">
        <x:v>早期争议复核导出.user_type</x:v>
      </x:c>
      <x:c r="R67" s="8" t="str">
        <x:v>优先审查目标（未选定）</x:v>
      </x:c>
      <x:c r="S67" s="8" t="str">
        <x:v>03与54各有5人；03先补到15更节约，22/29/61提供床侧/书桌/短廊口变化。</x:v>
      </x:c>
      <x:c r="T67" s="8" t="str">
        <x:v>附属短廊口和书桌更近，范围/下角信息可比性保留。</x:v>
      </x:c>
      <x:c r="U67" s="8" t="str">
        <x:v>54另有Semi接触，当前19人清洁Manual容量为16，不承诺19。组内预期相近仍含短廊范围解释。</x:v>
      </x:c>
      <x:c r="V67" s="8" t="str">
        <x:v>https://raw.githubusercontent.com/Sparkling-Flames/3D_Manhattan_label/844a4694627e1eacc6bfb48911897335e48ecc17/data/mp3d_layout/test/img/wc2JMjhGNzB_e6693f97b36545f7a76e03c3fe32ba8c.png</x:v>
      </x:c>
      <x:c r="W67" s="8" t="str">
        <x:v>wc2JMjhGNzB_e6693f97b36545f7a76e03c3fe32ba8c</x:v>
      </x:c>
    </x:row>
    <x:row r="68" ht="44" customHeight="1">
      <x:c r="A68" s="8" t="str">
        <x:v>G078</x:v>
      </x:c>
      <x:c r="B68" s="8" t="str">
        <x:v>Z6MFQCViBuw</x:v>
      </x:c>
      <x:c r="C68" s="8" t="n">
        <x:v>2</x:v>
      </x:c>
      <x:c r="D68" s="12" t="str">
        <x:v>待审</x:v>
      </x:c>
      <x:c r="E68" s="12" t="str">
        <x:v>未定</x:v>
      </x:c>
      <x:c r="F68" s="12" t="n">
        <x:v>15</x:v>
      </x:c>
      <x:c r="G68" s="12" t="str">
        <x:v>全部历史</x:v>
      </x:c>
      <x:c r="H68" s="8" t="n">
        <x:v>5</x:v>
      </x:c>
      <x:c r="I68" s="8" t="n">
        <x:v>4</x:v>
      </x:c>
      <x:c r="J68" s="8" t="n">
        <x:v>12</x:v>
      </x:c>
      <x:c r="K68" s="8" t="n">
        <x:v>4</x:v>
      </x:c>
      <x:c r="L68" s="8" t="n">
        <x:f>MAX(0,F68-IF(G68="当前19人",I68,H68))</x:f>
        <x:v>10</x:v>
      </x:c>
      <x:c r="M68" s="8" t="n">
        <x:f>IF(OR(D68="候选纳入",D68="特殊对照"),L68,0)</x:f>
        <x:v>0</x:v>
      </x:c>
      <x:c r="N68" s="8" t="str">
        <x:f>IF(L68&lt;=J68,"可达","人数不足")</x:f>
        <x:v>可达</x:v>
      </x:c>
      <x:c r="O68" s="8" t="str">
        <x:f>IF(AND(F68&lt;15,E68&lt;&gt;"审查确认简单"),"需确认简单","")</x:f>
      </x:c>
      <x:c r="P68" s="8" t="str">
        <x:v>厨房与用餐</x:v>
      </x:c>
      <x:c r="Q68" s="8" t="str">
        <x:v>后续41图亲审.current_classification.coarse_type</x:v>
      </x:c>
      <x:c r="R68" s="8" t="str">
        <x:v>已有来源，优先复用</x:v>
      </x:c>
      <x:c r="S68" s="8" t="str">
        <x:v>02号已有5人；05/08/09可扩展另一building的餐室，避免餐厅证据只来自yq。</x:v>
      </x:c>
      <x:c r="T68" s="8" t="str">
        <x:v>餐椅遮挡下沿，多个门外空间可见</x:v>
      </x:c>
      <x:c r="U68" s="8" t="str">
        <x:v>02已有Semi接触，需区分全历史与当前19人的清洁容量；没有密集来源。</x:v>
      </x:c>
      <x:c r="V68" s="8" t="str">
        <x:v>https://raw.githubusercontent.com/Sparkling-Flames/3D_Manhattan_label/844a4694627e1eacc6bfb48911897335e48ecc17/data/mp3d_layout/test/img/Z6MFQCViBuw_2008e72476f84104858e908beeac0193.png</x:v>
      </x:c>
      <x:c r="W68" s="8" t="str">
        <x:v>Z6MFQCViBuw_2008e72476f84104858e908beeac0193</x:v>
      </x:c>
    </x:row>
    <x:row r="69" ht="44" customHeight="1">
      <x:c r="A69" s="8" t="str">
        <x:v>G078</x:v>
      </x:c>
      <x:c r="B69" s="8" t="str">
        <x:v>Z6MFQCViBuw</x:v>
      </x:c>
      <x:c r="C69" s="8" t="n">
        <x:v>5</x:v>
      </x:c>
      <x:c r="D69" s="12" t="str">
        <x:v>待审</x:v>
      </x:c>
      <x:c r="E69" s="12" t="str">
        <x:v>未定</x:v>
      </x:c>
      <x:c r="F69" s="12" t="n">
        <x:v>15</x:v>
      </x:c>
      <x:c r="G69" s="12" t="str">
        <x:v>全部历史</x:v>
      </x:c>
      <x:c r="H69" s="8" t="n">
        <x:v>0</x:v>
      </x:c>
      <x:c r="I69" s="8" t="n">
        <x:v>0</x:v>
      </x:c>
      <x:c r="J69" s="8" t="n">
        <x:v>19</x:v>
      </x:c>
      <x:c r="K69" s="8" t="n">
        <x:v>0</x:v>
      </x:c>
      <x:c r="L69" s="8" t="n">
        <x:f>MAX(0,F69-IF(G69="当前19人",I69,H69))</x:f>
        <x:v>15</x:v>
      </x:c>
      <x:c r="M69" s="8" t="n">
        <x:f>IF(OR(D69="候选纳入",D69="特殊对照"),L69,0)</x:f>
        <x:v>0</x:v>
      </x:c>
      <x:c r="N69" s="8" t="str">
        <x:f>IF(L69&lt;=J69,"可达","人数不足")</x:f>
        <x:v>可达</x:v>
      </x:c>
      <x:c r="O69" s="8" t="str">
        <x:f>IF(AND(F69&lt;15,E69&lt;&gt;"审查确认简单"),"需确认简单","")</x:f>
      </x:c>
      <x:c r="P69" s="8" t="str">
        <x:v>厨房与用餐</x:v>
      </x:c>
      <x:c r="Q69" s="8" t="str">
        <x:v>后续41图亲审.current_classification.coarse_type</x:v>
      </x:c>
      <x:c r="R69" s="8" t="str">
        <x:v>优先审查目标（未选定）</x:v>
      </x:c>
      <x:c r="S69" s="8" t="str">
        <x:v>02号已有5人；05/08/09可扩展另一building的餐室，避免餐厅证据只来自yq。</x:v>
      </x:c>
      <x:c r="T69" s="8" t="str">
        <x:v>贴门视点，餐桌仅两端可见</x:v>
      </x:c>
      <x:c r="U69" s="8" t="str">
        <x:v>02已有Semi接触，需区分全历史与当前19人的清洁容量；没有密集来源。</x:v>
      </x:c>
      <x:c r="V69" s="8" t="str">
        <x:v>https://raw.githubusercontent.com/Sparkling-Flames/3D_Manhattan_label/844a4694627e1eacc6bfb48911897335e48ecc17/data/mp3d_layout/test/img/Z6MFQCViBuw_543e6efcc1e24215b18c4060255a9719.png</x:v>
      </x:c>
      <x:c r="W69" s="8" t="str">
        <x:v>Z6MFQCViBuw_543e6efcc1e24215b18c4060255a9719</x:v>
      </x:c>
    </x:row>
    <x:row r="70" ht="44" customHeight="1">
      <x:c r="A70" s="8" t="str">
        <x:v>G078</x:v>
      </x:c>
      <x:c r="B70" s="8" t="str">
        <x:v>Z6MFQCViBuw</x:v>
      </x:c>
      <x:c r="C70" s="8" t="n">
        <x:v>8</x:v>
      </x:c>
      <x:c r="D70" s="12" t="str">
        <x:v>待审</x:v>
      </x:c>
      <x:c r="E70" s="12" t="str">
        <x:v>未定</x:v>
      </x:c>
      <x:c r="F70" s="12" t="n">
        <x:v>15</x:v>
      </x:c>
      <x:c r="G70" s="12" t="str">
        <x:v>全部历史</x:v>
      </x:c>
      <x:c r="H70" s="8" t="n">
        <x:v>0</x:v>
      </x:c>
      <x:c r="I70" s="8" t="n">
        <x:v>0</x:v>
      </x:c>
      <x:c r="J70" s="8" t="n">
        <x:v>19</x:v>
      </x:c>
      <x:c r="K70" s="8" t="n">
        <x:v>0</x:v>
      </x:c>
      <x:c r="L70" s="8" t="n">
        <x:f>MAX(0,F70-IF(G70="当前19人",I70,H70))</x:f>
        <x:v>15</x:v>
      </x:c>
      <x:c r="M70" s="8" t="n">
        <x:f>IF(OR(D70="候选纳入",D70="特殊对照"),L70,0)</x:f>
        <x:v>0</x:v>
      </x:c>
      <x:c r="N70" s="8" t="str">
        <x:f>IF(L70&lt;=J70,"可达","人数不足")</x:f>
        <x:v>可达</x:v>
      </x:c>
      <x:c r="O70" s="8" t="str">
        <x:f>IF(AND(F70&lt;15,E70&lt;&gt;"审查确认简单"),"需确认简单","")</x:f>
      </x:c>
      <x:c r="P70" s="8" t="str">
        <x:v>厨房与用餐</x:v>
      </x:c>
      <x:c r="Q70" s="8" t="str">
        <x:v>后续41图亲审.current_classification.coarse_type</x:v>
      </x:c>
      <x:c r="R70" s="8" t="str">
        <x:v>优先审查目标（未选定）</x:v>
      </x:c>
      <x:c r="S70" s="8" t="str">
        <x:v>02号已有5人；05/08/09可扩展另一building的餐室，避免餐厅证据只来自yq。</x:v>
      </x:c>
      <x:c r="T70" s="8" t="str">
        <x:v>桌椅遮挡部分墙脚</x:v>
      </x:c>
      <x:c r="U70" s="8" t="str">
        <x:v>02已有Semi接触，需区分全历史与当前19人的清洁容量；没有密集来源。</x:v>
      </x:c>
      <x:c r="V70" s="8" t="str">
        <x:v>https://raw.githubusercontent.com/Sparkling-Flames/3D_Manhattan_label/844a4694627e1eacc6bfb48911897335e48ecc17/data/mp3d_layout/test/img/Z6MFQCViBuw_bc4ec1f735f3446aa4b56165d9508b45.png</x:v>
      </x:c>
      <x:c r="W70" s="8" t="str">
        <x:v>Z6MFQCViBuw_bc4ec1f735f3446aa4b56165d9508b45</x:v>
      </x:c>
    </x:row>
    <x:row r="71" ht="44" customHeight="1">
      <x:c r="A71" s="8" t="str">
        <x:v>G078</x:v>
      </x:c>
      <x:c r="B71" s="8" t="str">
        <x:v>Z6MFQCViBuw</x:v>
      </x:c>
      <x:c r="C71" s="8" t="n">
        <x:v>9</x:v>
      </x:c>
      <x:c r="D71" s="12" t="str">
        <x:v>待审</x:v>
      </x:c>
      <x:c r="E71" s="12" t="str">
        <x:v>未定</x:v>
      </x:c>
      <x:c r="F71" s="12" t="n">
        <x:v>15</x:v>
      </x:c>
      <x:c r="G71" s="12" t="str">
        <x:v>全部历史</x:v>
      </x:c>
      <x:c r="H71" s="8" t="n">
        <x:v>0</x:v>
      </x:c>
      <x:c r="I71" s="8" t="n">
        <x:v>0</x:v>
      </x:c>
      <x:c r="J71" s="8" t="n">
        <x:v>19</x:v>
      </x:c>
      <x:c r="K71" s="8" t="n">
        <x:v>0</x:v>
      </x:c>
      <x:c r="L71" s="8" t="n">
        <x:f>MAX(0,F71-IF(G71="当前19人",I71,H71))</x:f>
        <x:v>15</x:v>
      </x:c>
      <x:c r="M71" s="8" t="n">
        <x:f>IF(OR(D71="候选纳入",D71="特殊对照"),L71,0)</x:f>
        <x:v>0</x:v>
      </x:c>
      <x:c r="N71" s="8" t="str">
        <x:f>IF(L71&lt;=J71,"可达","人数不足")</x:f>
        <x:v>可达</x:v>
      </x:c>
      <x:c r="O71" s="8" t="str">
        <x:f>IF(AND(F71&lt;15,E71&lt;&gt;"审查确认简单"),"需确认简单","")</x:f>
      </x:c>
      <x:c r="P71" s="8" t="str">
        <x:v>厨房与用餐</x:v>
      </x:c>
      <x:c r="Q71" s="8" t="str">
        <x:v>后续41图亲审.current_classification.coarse_type</x:v>
      </x:c>
      <x:c r="R71" s="8" t="str">
        <x:v>优先审查目标（未选定）</x:v>
      </x:c>
      <x:c r="S71" s="8" t="str">
        <x:v>02号已有5人；05/08/09可扩展另一building的餐室，避免餐厅证据只来自yq。</x:v>
      </x:c>
      <x:c r="T71" s="8" t="str">
        <x:v>展柜与餐椅遮挡相近</x:v>
      </x:c>
      <x:c r="U71" s="8" t="str">
        <x:v>02已有Semi接触，需区分全历史与当前19人的清洁容量；没有密集来源。</x:v>
      </x:c>
      <x:c r="V71" s="8" t="str">
        <x:v>https://raw.githubusercontent.com/Sparkling-Flames/3D_Manhattan_label/844a4694627e1eacc6bfb48911897335e48ecc17/data/mp3d_layout/test/img/Z6MFQCViBuw_d9913cc77dc14f17b7228ac8de469b06.png</x:v>
      </x:c>
      <x:c r="W71" s="8" t="str">
        <x:v>Z6MFQCViBuw_d9913cc77dc14f17b7228ac8de469b06</x:v>
      </x:c>
    </x:row>
    <x:row r="72" ht="44" customHeight="1">
      <x:c r="A72" s="8" t="str">
        <x:v>G109</x:v>
      </x:c>
      <x:c r="B72" s="8" t="str">
        <x:v>jtcxE69GiFV</x:v>
      </x:c>
      <x:c r="C72" s="8" t="n">
        <x:v>1</x:v>
      </x:c>
      <x:c r="D72" s="12" t="str">
        <x:v>待审</x:v>
      </x:c>
      <x:c r="E72" s="12" t="str">
        <x:v>未定</x:v>
      </x:c>
      <x:c r="F72" s="12" t="n">
        <x:v>15</x:v>
      </x:c>
      <x:c r="G72" s="12" t="str">
        <x:v>全部历史</x:v>
      </x:c>
      <x:c r="H72" s="8" t="n">
        <x:v>0</x:v>
      </x:c>
      <x:c r="I72" s="8" t="n">
        <x:v>0</x:v>
      </x:c>
      <x:c r="J72" s="8" t="n">
        <x:v>19</x:v>
      </x:c>
      <x:c r="K72" s="8" t="n">
        <x:v>0</x:v>
      </x:c>
      <x:c r="L72" s="8" t="n">
        <x:f>MAX(0,F72-IF(G72="当前19人",I72,H72))</x:f>
        <x:v>15</x:v>
      </x:c>
      <x:c r="M72" s="8" t="n">
        <x:f>IF(OR(D72="候选纳入",D72="特殊对照"),L72,0)</x:f>
        <x:v>0</x:v>
      </x:c>
      <x:c r="N72" s="8" t="str">
        <x:f>IF(L72&lt;=J72,"可达","人数不足")</x:f>
        <x:v>可达</x:v>
      </x:c>
      <x:c r="O72" s="8" t="str">
        <x:f>IF(AND(F72&lt;15,E72&lt;&gt;"审查确认简单"),"需确认简单","")</x:f>
      </x:c>
      <x:c r="P72" s="8" t="str">
        <x:v>卧室</x:v>
      </x:c>
      <x:c r="Q72" s="8" t="str">
        <x:v>早期争议复核导出.user_type</x:v>
      </x:c>
      <x:c r="R72" s="8" t="str">
        <x:v>优先审查目标（未选定）</x:v>
      </x:c>
      <x:c r="S72" s="8" t="str">
        <x:v>05号有6份可用Manual、17号1份；适于补齐较大卧室/沙发连通范围。</x:v>
      </x:c>
      <x:c r="T72" s="8" t="str">
        <x:v>床柜及沙发遮住低处墙角；外套间是否纳入保留歧义</x:v>
      </x:c>
      <x:c r="U72" s="8" t="str">
        <x:v>用户评论记得05为Semi，当前记录却为6 Manual且0 Semi：保留矛盾，核对额外预览/初始呈现，不自行改写条件。</x:v>
      </x:c>
      <x:c r="V72" s="8" t="str">
        <x:v>https://raw.githubusercontent.com/Sparkling-Flames/3D_Manhattan_label/844a4694627e1eacc6bfb48911897335e48ecc17/data/mp3d_layout/valid/img/jtcxE69GiFV_001ad2ad14234e06b2d996d71bb96fc4.png</x:v>
      </x:c>
      <x:c r="W72" s="8" t="str">
        <x:v>jtcxE69GiFV_001ad2ad14234e06b2d996d71bb96fc4</x:v>
      </x:c>
    </x:row>
    <x:row r="73" ht="44" customHeight="1">
      <x:c r="A73" s="8" t="str">
        <x:v>G109</x:v>
      </x:c>
      <x:c r="B73" s="8" t="str">
        <x:v>jtcxE69GiFV</x:v>
      </x:c>
      <x:c r="C73" s="8" t="n">
        <x:v>5</x:v>
      </x:c>
      <x:c r="D73" s="12" t="str">
        <x:v>待审</x:v>
      </x:c>
      <x:c r="E73" s="12" t="str">
        <x:v>未定</x:v>
      </x:c>
      <x:c r="F73" s="12" t="n">
        <x:v>15</x:v>
      </x:c>
      <x:c r="G73" s="12" t="str">
        <x:v>全部历史</x:v>
      </x:c>
      <x:c r="H73" s="8" t="n">
        <x:v>6</x:v>
      </x:c>
      <x:c r="I73" s="8" t="n">
        <x:v>6</x:v>
      </x:c>
      <x:c r="J73" s="8" t="n">
        <x:v>13</x:v>
      </x:c>
      <x:c r="K73" s="8" t="n">
        <x:v>0</x:v>
      </x:c>
      <x:c r="L73" s="8" t="n">
        <x:f>MAX(0,F73-IF(G73="当前19人",I73,H73))</x:f>
        <x:v>9</x:v>
      </x:c>
      <x:c r="M73" s="8" t="n">
        <x:f>IF(OR(D73="候选纳入",D73="特殊对照"),L73,0)</x:f>
        <x:v>0</x:v>
      </x:c>
      <x:c r="N73" s="8" t="str">
        <x:f>IF(L73&lt;=J73,"可达","人数不足")</x:f>
        <x:v>可达</x:v>
      </x:c>
      <x:c r="O73" s="8" t="str">
        <x:f>IF(AND(F73&lt;15,E73&lt;&gt;"审查确认简单"),"需确认简单","")</x:f>
      </x:c>
      <x:c r="P73" s="8" t="str">
        <x:v>卧室</x:v>
      </x:c>
      <x:c r="Q73" s="8" t="str">
        <x:v>早期争议复核导出.user_type</x:v>
      </x:c>
      <x:c r="R73" s="8" t="str">
        <x:v>已有来源，优先复用</x:v>
      </x:c>
      <x:c r="S73" s="8" t="str">
        <x:v>05号有6份可用Manual、17号1份；适于补齐较大卧室/沙发连通范围。</x:v>
      </x:c>
      <x:c r="T73" s="8" t="str">
        <x:v>床柜遮挡低墙，远侧套间入口可见</x:v>
      </x:c>
      <x:c r="U73" s="8" t="str">
        <x:v>用户评论记得05为Semi，当前记录却为6 Manual且0 Semi：保留矛盾，核对额外预览/初始呈现，不自行改写条件。</x:v>
      </x:c>
      <x:c r="V73" s="8" t="str">
        <x:v>https://raw.githubusercontent.com/Sparkling-Flames/3D_Manhattan_label/844a4694627e1eacc6bfb48911897335e48ecc17/data/mp3d_layout/valid/img/jtcxE69GiFV_27535f650b78489abcf2397c1eaa3037.png</x:v>
      </x:c>
      <x:c r="W73" s="8" t="str">
        <x:v>jtcxE69GiFV_27535f650b78489abcf2397c1eaa3037</x:v>
      </x:c>
    </x:row>
    <x:row r="74" ht="44" customHeight="1">
      <x:c r="A74" s="8" t="str">
        <x:v>G109</x:v>
      </x:c>
      <x:c r="B74" s="8" t="str">
        <x:v>jtcxE69GiFV</x:v>
      </x:c>
      <x:c r="C74" s="8" t="n">
        <x:v>17</x:v>
      </x:c>
      <x:c r="D74" s="12" t="str">
        <x:v>待审</x:v>
      </x:c>
      <x:c r="E74" s="12" t="str">
        <x:v>未定</x:v>
      </x:c>
      <x:c r="F74" s="12" t="n">
        <x:v>15</x:v>
      </x:c>
      <x:c r="G74" s="12" t="str">
        <x:v>全部历史</x:v>
      </x:c>
      <x:c r="H74" s="8" t="n">
        <x:v>1</x:v>
      </x:c>
      <x:c r="I74" s="8" t="n">
        <x:v>1</x:v>
      </x:c>
      <x:c r="J74" s="8" t="n">
        <x:v>18</x:v>
      </x:c>
      <x:c r="K74" s="8" t="n">
        <x:v>0</x:v>
      </x:c>
      <x:c r="L74" s="8" t="n">
        <x:f>MAX(0,F74-IF(G74="当前19人",I74,H74))</x:f>
        <x:v>14</x:v>
      </x:c>
      <x:c r="M74" s="8" t="n">
        <x:f>IF(OR(D74="候选纳入",D74="特殊对照"),L74,0)</x:f>
        <x:v>0</x:v>
      </x:c>
      <x:c r="N74" s="8" t="str">
        <x:f>IF(L74&lt;=J74,"可达","人数不足")</x:f>
        <x:v>可达</x:v>
      </x:c>
      <x:c r="O74" s="8" t="str">
        <x:f>IF(AND(F74&lt;15,E74&lt;&gt;"审查确认简单"),"需确认简单","")</x:f>
      </x:c>
      <x:c r="P74" s="8" t="str">
        <x:v>卧室</x:v>
      </x:c>
      <x:c r="Q74" s="8" t="str">
        <x:v>早期争议复核导出.user_type</x:v>
      </x:c>
      <x:c r="R74" s="8" t="str">
        <x:v>优先审查目标（未选定）</x:v>
      </x:c>
      <x:c r="S74" s="8" t="str">
        <x:v>05号有6份可用Manual、17号1份；适于补齐较大卧室/沙发连通范围。</x:v>
      </x:c>
      <x:c r="T74" s="8" t="str">
        <x:v>门扇和近门视点带来外侧范围信息变化</x:v>
      </x:c>
      <x:c r="U74" s="8" t="str">
        <x:v>用户评论记得05为Semi，当前记录却为6 Manual且0 Semi：保留矛盾，核对额外预览/初始呈现，不自行改写条件。</x:v>
      </x:c>
      <x:c r="V74" s="8" t="str">
        <x:v>https://raw.githubusercontent.com/Sparkling-Flames/3D_Manhattan_label/844a4694627e1eacc6bfb48911897335e48ecc17/data/mp3d_layout/valid/img/jtcxE69GiFV_6723e18211d244f8b17ced91aae64d99.png</x:v>
      </x:c>
      <x:c r="W74" s="8" t="str">
        <x:v>jtcxE69GiFV_6723e18211d244f8b17ced91aae64d99</x:v>
      </x:c>
    </x:row>
    <x:row r="75" ht="44" customHeight="1">
      <x:c r="A75" s="8" t="str">
        <x:v>G109</x:v>
      </x:c>
      <x:c r="B75" s="8" t="str">
        <x:v>jtcxE69GiFV</x:v>
      </x:c>
      <x:c r="C75" s="8" t="n">
        <x:v>20</x:v>
      </x:c>
      <x:c r="D75" s="12" t="str">
        <x:v>待审</x:v>
      </x:c>
      <x:c r="E75" s="12" t="str">
        <x:v>未定</x:v>
      </x:c>
      <x:c r="F75" s="12" t="n">
        <x:v>15</x:v>
      </x:c>
      <x:c r="G75" s="12" t="str">
        <x:v>全部历史</x:v>
      </x:c>
      <x:c r="H75" s="8" t="n">
        <x:v>0</x:v>
      </x:c>
      <x:c r="I75" s="8" t="n">
        <x:v>0</x:v>
      </x:c>
      <x:c r="J75" s="8" t="n">
        <x:v>19</x:v>
      </x:c>
      <x:c r="K75" s="8" t="n">
        <x:v>0</x:v>
      </x:c>
      <x:c r="L75" s="8" t="n">
        <x:f>MAX(0,F75-IF(G75="当前19人",I75,H75))</x:f>
        <x:v>15</x:v>
      </x:c>
      <x:c r="M75" s="8" t="n">
        <x:f>IF(OR(D75="候选纳入",D75="特殊对照"),L75,0)</x:f>
        <x:v>0</x:v>
      </x:c>
      <x:c r="N75" s="8" t="str">
        <x:f>IF(L75&lt;=J75,"可达","人数不足")</x:f>
        <x:v>可达</x:v>
      </x:c>
      <x:c r="O75" s="8" t="str">
        <x:f>IF(AND(F75&lt;15,E75&lt;&gt;"审查确认简单"),"需确认简单","")</x:f>
      </x:c>
      <x:c r="P75" s="8" t="str">
        <x:v>卧室</x:v>
      </x:c>
      <x:c r="Q75" s="8" t="str">
        <x:v>早期争议复核导出.user_type</x:v>
      </x:c>
      <x:c r="R75" s="8" t="str">
        <x:v>优先审查目标（未选定）</x:v>
      </x:c>
      <x:c r="S75" s="8" t="str">
        <x:v>05号有6份可用Manual、17号1份；适于补齐较大卧室/沙发连通范围。</x:v>
      </x:c>
      <x:c r="T75" s="8" t="str">
        <x:v>近床遮挡及大镜面；范围仍主要同一卧室</x:v>
      </x:c>
      <x:c r="U75" s="8" t="str">
        <x:v>用户评论记得05为Semi，当前记录却为6 Manual且0 Semi：保留矛盾，核对额外预览/初始呈现，不自行改写条件。</x:v>
      </x:c>
      <x:c r="V75" s="8" t="str">
        <x:v>https://raw.githubusercontent.com/Sparkling-Flames/3D_Manhattan_label/844a4694627e1eacc6bfb48911897335e48ecc17/data/mp3d_layout/valid/img/jtcxE69GiFV_87e96c5b923840bc8276d949ff157948.png</x:v>
      </x:c>
      <x:c r="W75" s="8" t="str">
        <x:v>jtcxE69GiFV_87e96c5b923840bc8276d949ff157948</x:v>
      </x:c>
    </x:row>
    <x:row r="76" ht="44" customHeight="1">
      <x:c r="A76" s="8" t="str">
        <x:v>G109</x:v>
      </x:c>
      <x:c r="B76" s="8" t="str">
        <x:v>jtcxE69GiFV</x:v>
      </x:c>
      <x:c r="C76" s="8" t="n">
        <x:v>33</x:v>
      </x:c>
      <x:c r="D76" s="12" t="str">
        <x:v>待审</x:v>
      </x:c>
      <x:c r="E76" s="12" t="str">
        <x:v>未定</x:v>
      </x:c>
      <x:c r="F76" s="12" t="n">
        <x:v>15</x:v>
      </x:c>
      <x:c r="G76" s="12" t="str">
        <x:v>全部历史</x:v>
      </x:c>
      <x:c r="H76" s="8" t="n">
        <x:v>0</x:v>
      </x:c>
      <x:c r="I76" s="8" t="n">
        <x:v>0</x:v>
      </x:c>
      <x:c r="J76" s="8" t="n">
        <x:v>19</x:v>
      </x:c>
      <x:c r="K76" s="8" t="n">
        <x:v>0</x:v>
      </x:c>
      <x:c r="L76" s="8" t="n">
        <x:f>MAX(0,F76-IF(G76="当前19人",I76,H76))</x:f>
        <x:v>15</x:v>
      </x:c>
      <x:c r="M76" s="8" t="n">
        <x:f>IF(OR(D76="候选纳入",D76="特殊对照"),L76,0)</x:f>
        <x:v>0</x:v>
      </x:c>
      <x:c r="N76" s="8" t="str">
        <x:f>IF(L76&lt;=J76,"可达","人数不足")</x:f>
        <x:v>可达</x:v>
      </x:c>
      <x:c r="O76" s="8" t="str">
        <x:f>IF(AND(F76&lt;15,E76&lt;&gt;"审查确认简单"),"需确认简单","")</x:f>
      </x:c>
      <x:c r="P76" s="8" t="str">
        <x:v>卧室</x:v>
      </x:c>
      <x:c r="Q76" s="8" t="str">
        <x:v>早期争议复核导出.user_type</x:v>
      </x:c>
      <x:c r="R76" s="8" t="str">
        <x:v>优先审查目标（未选定）</x:v>
      </x:c>
      <x:c r="S76" s="8" t="str">
        <x:v>05号有6份可用Manual、17号1份；适于补齐较大卧室/沙发连通范围。</x:v>
      </x:c>
      <x:c r="T76" s="8" t="str">
        <x:v>沙发及床柜遮低墙，外侧套间可见</x:v>
      </x:c>
      <x:c r="U76" s="8" t="str">
        <x:v>用户评论记得05为Semi，当前记录却为6 Manual且0 Semi：保留矛盾，核对额外预览/初始呈现，不自行改写条件。</x:v>
      </x:c>
      <x:c r="V76" s="8" t="str">
        <x:v>https://raw.githubusercontent.com/Sparkling-Flames/3D_Manhattan_label/844a4694627e1eacc6bfb48911897335e48ecc17/data/mp3d_layout/valid/img/jtcxE69GiFV_fb7f2438518243b180ae78cf1e2737e3.png</x:v>
      </x:c>
      <x:c r="W76" s="8" t="str">
        <x:v>jtcxE69GiFV_fb7f2438518243b180ae78cf1e2737e3</x:v>
      </x:c>
    </x:row>
    <x:row r="77" ht="44" customHeight="1">
      <x:c r="A77" s="8" t="str">
        <x:v>G200</x:v>
      </x:c>
      <x:c r="B77" s="8" t="str">
        <x:v>uNb9QFRL6hY</x:v>
      </x:c>
      <x:c r="C77" s="8" t="n">
        <x:v>70</x:v>
      </x:c>
      <x:c r="D77" s="12" t="str">
        <x:v>待审</x:v>
      </x:c>
      <x:c r="E77" s="12" t="str">
        <x:v>未定</x:v>
      </x:c>
      <x:c r="F77" s="12" t="n">
        <x:v>15</x:v>
      </x:c>
      <x:c r="G77" s="12" t="str">
        <x:v>全部历史</x:v>
      </x:c>
      <x:c r="H77" s="8" t="n">
        <x:v>25</x:v>
      </x:c>
      <x:c r="I77" s="8" t="n">
        <x:v>19</x:v>
      </x:c>
      <x:c r="J77" s="8" t="n">
        <x:v>0</x:v>
      </x:c>
      <x:c r="K77" s="8" t="n">
        <x:v>0</x:v>
      </x:c>
      <x:c r="L77" s="8" t="n">
        <x:f>MAX(0,F77-IF(G77="当前19人",I77,H77))</x:f>
        <x:v>0</x:v>
      </x:c>
      <x:c r="M77" s="8" t="n">
        <x:f>IF(OR(D77="候选纳入",D77="特殊对照"),L77,0)</x:f>
        <x:v>0</x:v>
      </x:c>
      <x:c r="N77" s="8" t="str">
        <x:f>IF(L77&lt;=J77,"可达","人数不足")</x:f>
        <x:v>可达</x:v>
      </x:c>
      <x:c r="O77" s="8" t="str">
        <x:f>IF(AND(F77&lt;15,E77&lt;&gt;"审查确认简单"),"需确认简单","")</x:f>
      </x:c>
      <x:c r="P77" s="8" t="str">
        <x:v>储藏与家务辅助</x:v>
      </x:c>
      <x:c r="Q77" s="8" t="str">
        <x:v>早期争议复核导出.user_type</x:v>
      </x:c>
      <x:c r="R77" s="8" t="str">
        <x:v>已有来源，优先复用</x:v>
      </x:c>
      <x:c r="S77" s="8" t="str">
        <x:v>70号已有25人，只新增74即可补储藏/衣帽室类型；源图不必重复。</x:v>
      </x:c>
      <x:c r="T77" s="8" t="str">
        <x:v>固定柜列数可辨，对面柜室不合入</x:v>
      </x:c>
      <x:c r="U77" s="8" t="str">
        <x:v>固定柜遮墙脚，不能仅因空间小就归简单。</x:v>
      </x:c>
      <x:c r="V77" s="8" t="str">
        <x:v>https://raw.githubusercontent.com/Sparkling-Flames/3D_Manhattan_label/844a4694627e1eacc6bfb48911897335e48ecc17/data/mp3d_layout/test/img/uNb9QFRL6hY_d02f87bbb0414146a7a15070110a0384.png</x:v>
      </x:c>
      <x:c r="W77" s="8" t="str">
        <x:v>uNb9QFRL6hY_d02f87bbb0414146a7a15070110a0384</x:v>
      </x:c>
    </x:row>
    <x:row r="78" ht="44" customHeight="1">
      <x:c r="A78" s="8" t="str">
        <x:v>G200</x:v>
      </x:c>
      <x:c r="B78" s="8" t="str">
        <x:v>uNb9QFRL6hY</x:v>
      </x:c>
      <x:c r="C78" s="8" t="n">
        <x:v>74</x:v>
      </x:c>
      <x:c r="D78" s="12" t="str">
        <x:v>待审</x:v>
      </x:c>
      <x:c r="E78" s="12" t="str">
        <x:v>未定</x:v>
      </x:c>
      <x:c r="F78" s="12" t="n">
        <x:v>15</x:v>
      </x:c>
      <x:c r="G78" s="12" t="str">
        <x:v>全部历史</x:v>
      </x:c>
      <x:c r="H78" s="8" t="n">
        <x:v>0</x:v>
      </x:c>
      <x:c r="I78" s="8" t="n">
        <x:v>0</x:v>
      </x:c>
      <x:c r="J78" s="8" t="n">
        <x:v>19</x:v>
      </x:c>
      <x:c r="K78" s="8" t="n">
        <x:v>0</x:v>
      </x:c>
      <x:c r="L78" s="8" t="n">
        <x:f>MAX(0,F78-IF(G78="当前19人",I78,H78))</x:f>
        <x:v>15</x:v>
      </x:c>
      <x:c r="M78" s="8" t="n">
        <x:f>IF(OR(D78="候选纳入",D78="特殊对照"),L78,0)</x:f>
        <x:v>0</x:v>
      </x:c>
      <x:c r="N78" s="8" t="str">
        <x:f>IF(L78&lt;=J78,"可达","人数不足")</x:f>
        <x:v>可达</x:v>
      </x:c>
      <x:c r="O78" s="8" t="str">
        <x:f>IF(AND(F78&lt;15,E78&lt;&gt;"审查确认简单"),"需确认简单","")</x:f>
      </x:c>
      <x:c r="P78" s="8" t="str">
        <x:v>储藏与家务辅助</x:v>
      </x:c>
      <x:c r="Q78" s="8" t="str">
        <x:v>早期争议复核导出.user_type</x:v>
      </x:c>
      <x:c r="R78" s="8" t="str">
        <x:v>优先审查目标（未选定）</x:v>
      </x:c>
      <x:c r="S78" s="8" t="str">
        <x:v>70号已有25人，只新增74即可补储藏/衣帽室类型；源图不必重复。</x:v>
      </x:c>
      <x:c r="T78" s="8" t="str">
        <x:v>近柜，柜体贴墙信息与70一致</x:v>
      </x:c>
      <x:c r="U78" s="8" t="str">
        <x:v>固定柜遮墙脚，不能仅因空间小就归简单。</x:v>
      </x:c>
      <x:c r="V78" s="8" t="str">
        <x:v>https://raw.githubusercontent.com/Sparkling-Flames/3D_Manhattan_label/844a4694627e1eacc6bfb48911897335e48ecc17/data/mp3d_layout/test/img/uNb9QFRL6hY_dba77340b24340be9c7242cba42f1e28.png</x:v>
      </x:c>
      <x:c r="W78" s="8" t="str">
        <x:v>uNb9QFRL6hY_dba77340b24340be9c7242cba42f1e28</x:v>
      </x:c>
    </x:row>
    <x:row r="79" ht="44" customHeight="1">
      <x:c r="A79" s="8" t="str">
        <x:v>G015</x:v>
      </x:c>
      <x:c r="B79" s="8" t="str">
        <x:v>7y3sRwLe3Va</x:v>
      </x:c>
      <x:c r="C79" s="8" t="n">
        <x:v>9</x:v>
      </x:c>
      <x:c r="D79" s="12" t="str">
        <x:v>待审</x:v>
      </x:c>
      <x:c r="E79" s="12" t="str">
        <x:v>未定</x:v>
      </x:c>
      <x:c r="F79" s="12" t="n">
        <x:v>15</x:v>
      </x:c>
      <x:c r="G79" s="12" t="str">
        <x:v>全部历史</x:v>
      </x:c>
      <x:c r="H79" s="8" t="n">
        <x:v>0</x:v>
      </x:c>
      <x:c r="I79" s="8" t="n">
        <x:v>0</x:v>
      </x:c>
      <x:c r="J79" s="8" t="n">
        <x:v>19</x:v>
      </x:c>
      <x:c r="K79" s="8" t="n">
        <x:v>0</x:v>
      </x:c>
      <x:c r="L79" s="8" t="n">
        <x:f>MAX(0,F79-IF(G79="当前19人",I79,H79))</x:f>
        <x:v>15</x:v>
      </x:c>
      <x:c r="M79" s="8" t="n">
        <x:f>IF(OR(D79="候选纳入",D79="特殊对照"),L79,0)</x:f>
        <x:v>0</x:v>
      </x:c>
      <x:c r="N79" s="8" t="str">
        <x:f>IF(L79&lt;=J79,"可达","人数不足")</x:f>
        <x:v>可达</x:v>
      </x:c>
      <x:c r="O79" s="8" t="str">
        <x:f>IF(AND(F79&lt;15,E79&lt;&gt;"审查确认简单"),"需确认简单","")</x:f>
      </x:c>
      <x:c r="P79" s="8" t="str">
        <x:v>开放复合空间</x:v>
      </x:c>
      <x:c r="Q79" s="8" t="str">
        <x:v>后续41图亲审.current_classification.coarse_type</x:v>
      </x:c>
      <x:c r="R79" s="8" t="str">
        <x:v>优先审查目标（未选定）</x:v>
      </x:c>
      <x:c r="S79" s="8" t="str">
        <x:v>已确认4图开放复合空间，补充单一功能房间以外的条件；19号已有6份Manual。</x:v>
      </x:c>
      <x:c r="T79" s="8" t="str">
        <x:v>靠沙发后、楼梯口，外侧走道信息较显著</x:v>
      </x:c>
      <x:c r="U79" s="8" t="str">
        <x:v>19号另有4份Semi，当前19人清洁容量16；开放复合粗类不自动等于表示OOS。</x:v>
      </x:c>
      <x:c r="V79" s="8" t="str">
        <x:v>https://raw.githubusercontent.com/Sparkling-Flames/3D_Manhattan_label/844a4694627e1eacc6bfb48911897335e48ecc17/data/mp3d_layout/test/img/7y3sRwLe3Va_54e499c336a0490d8cf1684049f36040.png</x:v>
      </x:c>
      <x:c r="W79" s="8" t="str">
        <x:v>7y3sRwLe3Va_54e499c336a0490d8cf1684049f36040</x:v>
      </x:c>
    </x:row>
    <x:row r="80" ht="44" customHeight="1">
      <x:c r="A80" s="8" t="str">
        <x:v>G015</x:v>
      </x:c>
      <x:c r="B80" s="8" t="str">
        <x:v>7y3sRwLe3Va</x:v>
      </x:c>
      <x:c r="C80" s="8" t="n">
        <x:v>11</x:v>
      </x:c>
      <x:c r="D80" s="12" t="str">
        <x:v>待审</x:v>
      </x:c>
      <x:c r="E80" s="12" t="str">
        <x:v>未定</x:v>
      </x:c>
      <x:c r="F80" s="12" t="n">
        <x:v>15</x:v>
      </x:c>
      <x:c r="G80" s="12" t="str">
        <x:v>全部历史</x:v>
      </x:c>
      <x:c r="H80" s="8" t="n">
        <x:v>0</x:v>
      </x:c>
      <x:c r="I80" s="8" t="n">
        <x:v>0</x:v>
      </x:c>
      <x:c r="J80" s="8" t="n">
        <x:v>19</x:v>
      </x:c>
      <x:c r="K80" s="8" t="n">
        <x:v>0</x:v>
      </x:c>
      <x:c r="L80" s="8" t="n">
        <x:f>MAX(0,F80-IF(G80="当前19人",I80,H80))</x:f>
        <x:v>15</x:v>
      </x:c>
      <x:c r="M80" s="8" t="n">
        <x:f>IF(OR(D80="候选纳入",D80="特殊对照"),L80,0)</x:f>
        <x:v>0</x:v>
      </x:c>
      <x:c r="N80" s="8" t="str">
        <x:f>IF(L80&lt;=J80,"可达","人数不足")</x:f>
        <x:v>可达</x:v>
      </x:c>
      <x:c r="O80" s="8" t="str">
        <x:f>IF(AND(F80&lt;15,E80&lt;&gt;"审查确认简单"),"需确认简单","")</x:f>
      </x:c>
      <x:c r="P80" s="8" t="str">
        <x:v>开放复合空间</x:v>
      </x:c>
      <x:c r="Q80" s="8" t="str">
        <x:v>后续41图亲审.current_classification.coarse_type</x:v>
      </x:c>
      <x:c r="R80" s="8" t="str">
        <x:v>优先审查目标（未选定）</x:v>
      </x:c>
      <x:c r="S80" s="8" t="str">
        <x:v>已确认4图开放复合空间，补充单一功能房间以外的条件；19号已有6份Manual。</x:v>
      </x:c>
      <x:c r="T80" s="8" t="str">
        <x:v>沙发遮挡墙脚，厨房在宽开口之后</x:v>
      </x:c>
      <x:c r="U80" s="8" t="str">
        <x:v>19号另有4份Semi，当前19人清洁容量16；开放复合粗类不自动等于表示OOS。</x:v>
      </x:c>
      <x:c r="V80" s="8" t="str">
        <x:v>https://raw.githubusercontent.com/Sparkling-Flames/3D_Manhattan_label/844a4694627e1eacc6bfb48911897335e48ecc17/data/mp3d_layout/test/img/7y3sRwLe3Va_606f9842b8af48daa28f10df8b69d861.png</x:v>
      </x:c>
      <x:c r="W80" s="8" t="str">
        <x:v>7y3sRwLe3Va_606f9842b8af48daa28f10df8b69d861</x:v>
      </x:c>
    </x:row>
    <x:row r="81" ht="44" customHeight="1">
      <x:c r="A81" s="8" t="str">
        <x:v>G015</x:v>
      </x:c>
      <x:c r="B81" s="8" t="str">
        <x:v>7y3sRwLe3Va</x:v>
      </x:c>
      <x:c r="C81" s="8" t="n">
        <x:v>16</x:v>
      </x:c>
      <x:c r="D81" s="12" t="str">
        <x:v>待审</x:v>
      </x:c>
      <x:c r="E81" s="12" t="str">
        <x:v>未定</x:v>
      </x:c>
      <x:c r="F81" s="12" t="n">
        <x:v>15</x:v>
      </x:c>
      <x:c r="G81" s="12" t="str">
        <x:v>全部历史</x:v>
      </x:c>
      <x:c r="H81" s="8" t="n">
        <x:v>0</x:v>
      </x:c>
      <x:c r="I81" s="8" t="n">
        <x:v>0</x:v>
      </x:c>
      <x:c r="J81" s="8" t="n">
        <x:v>19</x:v>
      </x:c>
      <x:c r="K81" s="8" t="n">
        <x:v>0</x:v>
      </x:c>
      <x:c r="L81" s="8" t="n">
        <x:f>MAX(0,F81-IF(G81="当前19人",I81,H81))</x:f>
        <x:v>15</x:v>
      </x:c>
      <x:c r="M81" s="8" t="n">
        <x:f>IF(OR(D81="候选纳入",D81="特殊对照"),L81,0)</x:f>
        <x:v>0</x:v>
      </x:c>
      <x:c r="N81" s="8" t="str">
        <x:f>IF(L81&lt;=J81,"可达","人数不足")</x:f>
        <x:v>可达</x:v>
      </x:c>
      <x:c r="O81" s="8" t="str">
        <x:f>IF(AND(F81&lt;15,E81&lt;&gt;"审查确认简单"),"需确认简单","")</x:f>
      </x:c>
      <x:c r="P81" s="8" t="str">
        <x:v>开放复合空间</x:v>
      </x:c>
      <x:c r="Q81" s="8" t="str">
        <x:v>后续41图亲审.current_classification.coarse_type</x:v>
      </x:c>
      <x:c r="R81" s="8" t="str">
        <x:v>优先审查目标（未选定）</x:v>
      </x:c>
      <x:c r="S81" s="8" t="str">
        <x:v>已确认4图开放复合空间，补充单一功能房间以外的条件；19号已有6份Manual。</x:v>
      </x:c>
      <x:c r="T81" s="8" t="str">
        <x:v>厨房及侧房开口可见；整体仍客厅为主</x:v>
      </x:c>
      <x:c r="U81" s="8" t="str">
        <x:v>19号另有4份Semi，当前19人清洁容量16；开放复合粗类不自动等于表示OOS。</x:v>
      </x:c>
      <x:c r="V81" s="8" t="str">
        <x:v>https://raw.githubusercontent.com/Sparkling-Flames/3D_Manhattan_label/844a4694627e1eacc6bfb48911897335e48ecc17/data/mp3d_layout/test/img/7y3sRwLe3Va_9bbf903d50da4ffd9e5d1fb7c9f4d69b.png</x:v>
      </x:c>
      <x:c r="W81" s="8" t="str">
        <x:v>7y3sRwLe3Va_9bbf903d50da4ffd9e5d1fb7c9f4d69b</x:v>
      </x:c>
    </x:row>
    <x:row r="82" ht="44" customHeight="1">
      <x:c r="A82" s="8" t="str">
        <x:v>G015</x:v>
      </x:c>
      <x:c r="B82" s="8" t="str">
        <x:v>7y3sRwLe3Va</x:v>
      </x:c>
      <x:c r="C82" s="8" t="n">
        <x:v>19</x:v>
      </x:c>
      <x:c r="D82" s="12" t="str">
        <x:v>待审</x:v>
      </x:c>
      <x:c r="E82" s="12" t="str">
        <x:v>未定</x:v>
      </x:c>
      <x:c r="F82" s="12" t="n">
        <x:v>15</x:v>
      </x:c>
      <x:c r="G82" s="12" t="str">
        <x:v>全部历史</x:v>
      </x:c>
      <x:c r="H82" s="8" t="n">
        <x:v>6</x:v>
      </x:c>
      <x:c r="I82" s="8" t="n">
        <x:v>4</x:v>
      </x:c>
      <x:c r="J82" s="8" t="n">
        <x:v>12</x:v>
      </x:c>
      <x:c r="K82" s="8" t="n">
        <x:v>4</x:v>
      </x:c>
      <x:c r="L82" s="8" t="n">
        <x:f>MAX(0,F82-IF(G82="当前19人",I82,H82))</x:f>
        <x:v>9</x:v>
      </x:c>
      <x:c r="M82" s="8" t="n">
        <x:f>IF(OR(D82="候选纳入",D82="特殊对照"),L82,0)</x:f>
        <x:v>0</x:v>
      </x:c>
      <x:c r="N82" s="8" t="str">
        <x:f>IF(L82&lt;=J82,"可达","人数不足")</x:f>
        <x:v>可达</x:v>
      </x:c>
      <x:c r="O82" s="8" t="str">
        <x:f>IF(AND(F82&lt;15,E82&lt;&gt;"审查确认简单"),"需确认简单","")</x:f>
      </x:c>
      <x:c r="P82" s="8" t="str">
        <x:v>开放复合空间</x:v>
      </x:c>
      <x:c r="Q82" s="8" t="str">
        <x:v>后续41图亲审.current_classification.coarse_type</x:v>
      </x:c>
      <x:c r="R82" s="8" t="str">
        <x:v>已有来源，优先复用</x:v>
      </x:c>
      <x:c r="S82" s="8" t="str">
        <x:v>已确认4图开放复合空间，补充单一功能房间以外的条件；19号已有6份Manual。</x:v>
      </x:c>
      <x:c r="T82" s="8" t="str">
        <x:v>跨客厅厨房的范围可比性比11更不确定</x:v>
      </x:c>
      <x:c r="U82" s="8" t="str">
        <x:v>19号另有4份Semi，当前19人清洁容量16；开放复合粗类不自动等于表示OOS。</x:v>
      </x:c>
      <x:c r="V82" s="8" t="str">
        <x:v>https://raw.githubusercontent.com/Sparkling-Flames/3D_Manhattan_label/844a4694627e1eacc6bfb48911897335e48ecc17/data/mp3d_layout/test/img/7y3sRwLe3Va_ad77d6eeca5b492b8fe3317177f4f03f.png</x:v>
      </x:c>
      <x:c r="W82" s="8" t="str">
        <x:v>7y3sRwLe3Va_ad77d6eeca5b492b8fe3317177f4f03f</x:v>
      </x:c>
    </x:row>
    <x:row r="83" ht="44" customHeight="1">
      <x:c r="A83" s="8" t="str">
        <x:v>G002</x:v>
      </x:c>
      <x:c r="B83" s="8" t="str">
        <x:v>2t7WUuJeko7</x:v>
      </x:c>
      <x:c r="C83" s="8" t="n">
        <x:v>2</x:v>
      </x:c>
      <x:c r="D83" s="12" t="str">
        <x:v>待审</x:v>
      </x:c>
      <x:c r="E83" s="12" t="str">
        <x:v>未定</x:v>
      </x:c>
      <x:c r="F83" s="12" t="n">
        <x:v>15</x:v>
      </x:c>
      <x:c r="G83" s="12" t="str">
        <x:v>全部历史</x:v>
      </x:c>
      <x:c r="H83" s="8" t="n">
        <x:v>0</x:v>
      </x:c>
      <x:c r="I83" s="8" t="n">
        <x:v>0</x:v>
      </x:c>
      <x:c r="J83" s="8" t="n">
        <x:v>19</x:v>
      </x:c>
      <x:c r="K83" s="8" t="n">
        <x:v>0</x:v>
      </x:c>
      <x:c r="L83" s="8" t="n">
        <x:f>MAX(0,F83-IF(G83="当前19人",I83,H83))</x:f>
        <x:v>15</x:v>
      </x:c>
      <x:c r="M83" s="8" t="n">
        <x:f>IF(OR(D83="候选纳入",D83="特殊对照"),L83,0)</x:f>
        <x:v>0</x:v>
      </x:c>
      <x:c r="N83" s="8" t="str">
        <x:f>IF(L83&lt;=J83,"可达","人数不足")</x:f>
        <x:v>可达</x:v>
      </x:c>
      <x:c r="O83" s="8" t="str">
        <x:f>IF(AND(F83&lt;15,E83&lt;&gt;"审查确认简单"),"需确认简单","")</x:f>
      </x:c>
      <x:c r="P83" s="8" t="str">
        <x:v>厨房与用餐</x:v>
      </x:c>
      <x:c r="Q83" s="8" t="str">
        <x:v>早期争议复核导出.user_type</x:v>
      </x:c>
      <x:c r="R83" s="8" t="str">
        <x:v>优先审查目标（未选定）</x:v>
      </x:c>
      <x:c r="S83" s="8" t="str">
        <x:v>02/03/05与10/17存在用户明确指出的视点难度差异，适合比较同房不同信息条件。</x:v>
      </x:c>
      <x:c r="T83" s="8" t="str">
        <x:v>炉灶遮住局部墙脚；通外餐室的窄门可见</x:v>
      </x:c>
      <x:c r="U83" s="8" t="str">
        <x:v>全组没有无辅助历史，来源图和目标图都要计算费用；原状态空白表示已看而非明确完成所有确认。</x:v>
      </x:c>
      <x:c r="V83" s="8" t="str">
        <x:v>https://raw.githubusercontent.com/Sparkling-Flames/3D_Manhattan_label/844a4694627e1eacc6bfb48911897335e48ecc17/data/mp3d_layout/valid/img/2t7WUuJeko7_1a0d730696cc4057b0037a75c8ef6b59.png</x:v>
      </x:c>
      <x:c r="W83" s="8" t="str">
        <x:v>2t7WUuJeko7_1a0d730696cc4057b0037a75c8ef6b59</x:v>
      </x:c>
    </x:row>
    <x:row r="84" ht="44" customHeight="1">
      <x:c r="A84" s="8" t="str">
        <x:v>G002</x:v>
      </x:c>
      <x:c r="B84" s="8" t="str">
        <x:v>2t7WUuJeko7</x:v>
      </x:c>
      <x:c r="C84" s="8" t="n">
        <x:v>3</x:v>
      </x:c>
      <x:c r="D84" s="12" t="str">
        <x:v>待审</x:v>
      </x:c>
      <x:c r="E84" s="12" t="str">
        <x:v>未定</x:v>
      </x:c>
      <x:c r="F84" s="12" t="n">
        <x:v>15</x:v>
      </x:c>
      <x:c r="G84" s="12" t="str">
        <x:v>全部历史</x:v>
      </x:c>
      <x:c r="H84" s="8" t="n">
        <x:v>0</x:v>
      </x:c>
      <x:c r="I84" s="8" t="n">
        <x:v>0</x:v>
      </x:c>
      <x:c r="J84" s="8" t="n">
        <x:v>19</x:v>
      </x:c>
      <x:c r="K84" s="8" t="n">
        <x:v>0</x:v>
      </x:c>
      <x:c r="L84" s="8" t="n">
        <x:f>MAX(0,F84-IF(G84="当前19人",I84,H84))</x:f>
        <x:v>15</x:v>
      </x:c>
      <x:c r="M84" s="8" t="n">
        <x:f>IF(OR(D84="候选纳入",D84="特殊对照"),L84,0)</x:f>
        <x:v>0</x:v>
      </x:c>
      <x:c r="N84" s="8" t="str">
        <x:f>IF(L84&lt;=J84,"可达","人数不足")</x:f>
        <x:v>可达</x:v>
      </x:c>
      <x:c r="O84" s="8" t="str">
        <x:f>IF(AND(F84&lt;15,E84&lt;&gt;"审查确认简单"),"需确认简单","")</x:f>
      </x:c>
      <x:c r="P84" s="8" t="str">
        <x:v>厨房与用餐</x:v>
      </x:c>
      <x:c r="Q84" s="8" t="str">
        <x:v>早期争议复核导出.user_type</x:v>
      </x:c>
      <x:c r="R84" s="8" t="str">
        <x:v>优先审查目标（未选定）</x:v>
      </x:c>
      <x:c r="S84" s="8" t="str">
        <x:v>02/03/05与10/17存在用户明确指出的视点难度差异，适合比较同房不同信息条件。</x:v>
      </x:c>
      <x:c r="T84" s="8" t="str">
        <x:v>近橱柜使墙脚被柜体遮挡，外餐室仅门后局部</x:v>
      </x:c>
      <x:c r="U84" s="8" t="str">
        <x:v>全组没有无辅助历史，来源图和目标图都要计算费用；原状态空白表示已看而非明确完成所有确认。</x:v>
      </x:c>
      <x:c r="V84" s="8" t="str">
        <x:v>https://raw.githubusercontent.com/Sparkling-Flames/3D_Manhattan_label/844a4694627e1eacc6bfb48911897335e48ecc17/data/mp3d_layout/valid/img/2t7WUuJeko7_218fdf5321f9482e85e828c56f2c0c94.png</x:v>
      </x:c>
      <x:c r="W84" s="8" t="str">
        <x:v>2t7WUuJeko7_218fdf5321f9482e85e828c56f2c0c94</x:v>
      </x:c>
    </x:row>
    <x:row r="85" ht="44" customHeight="1">
      <x:c r="A85" s="8" t="str">
        <x:v>G002</x:v>
      </x:c>
      <x:c r="B85" s="8" t="str">
        <x:v>2t7WUuJeko7</x:v>
      </x:c>
      <x:c r="C85" s="8" t="n">
        <x:v>5</x:v>
      </x:c>
      <x:c r="D85" s="12" t="str">
        <x:v>待审</x:v>
      </x:c>
      <x:c r="E85" s="12" t="str">
        <x:v>未定</x:v>
      </x:c>
      <x:c r="F85" s="12" t="n">
        <x:v>15</x:v>
      </x:c>
      <x:c r="G85" s="12" t="str">
        <x:v>全部历史</x:v>
      </x:c>
      <x:c r="H85" s="8" t="n">
        <x:v>0</x:v>
      </x:c>
      <x:c r="I85" s="8" t="n">
        <x:v>0</x:v>
      </x:c>
      <x:c r="J85" s="8" t="n">
        <x:v>19</x:v>
      </x:c>
      <x:c r="K85" s="8" t="n">
        <x:v>0</x:v>
      </x:c>
      <x:c r="L85" s="8" t="n">
        <x:f>MAX(0,F85-IF(G85="当前19人",I85,H85))</x:f>
        <x:v>15</x:v>
      </x:c>
      <x:c r="M85" s="8" t="n">
        <x:f>IF(OR(D85="候选纳入",D85="特殊对照"),L85,0)</x:f>
        <x:v>0</x:v>
      </x:c>
      <x:c r="N85" s="8" t="str">
        <x:f>IF(L85&lt;=J85,"可达","人数不足")</x:f>
        <x:v>可达</x:v>
      </x:c>
      <x:c r="O85" s="8" t="str">
        <x:f>IF(AND(F85&lt;15,E85&lt;&gt;"审查确认简单"),"需确认简单","")</x:f>
      </x:c>
      <x:c r="P85" s="8" t="str">
        <x:v>厨房与用餐</x:v>
      </x:c>
      <x:c r="Q85" s="8" t="str">
        <x:v>早期争议复核导出.user_type</x:v>
      </x:c>
      <x:c r="R85" s="8" t="str">
        <x:v>优先审查目标（未选定）</x:v>
      </x:c>
      <x:c r="S85" s="8" t="str">
        <x:v>02/03/05与10/17存在用户明确指出的视点难度差异，适合比较同房不同信息条件。</x:v>
      </x:c>
      <x:c r="T85" s="8" t="str">
        <x:v>较靠近炉灶及外餐室门，门后信息更显著</x:v>
      </x:c>
      <x:c r="U85" s="8" t="str">
        <x:v>全组没有无辅助历史，来源图和目标图都要计算费用；原状态空白表示已看而非明确完成所有确认。</x:v>
      </x:c>
      <x:c r="V85" s="8" t="str">
        <x:v>https://raw.githubusercontent.com/Sparkling-Flames/3D_Manhattan_label/844a4694627e1eacc6bfb48911897335e48ecc17/data/mp3d_layout/valid/img/2t7WUuJeko7_383d84c26afa4fae9e68b89d445e091e.png</x:v>
      </x:c>
      <x:c r="W85" s="8" t="str">
        <x:v>2t7WUuJeko7_383d84c26afa4fae9e68b89d445e091e</x:v>
      </x:c>
    </x:row>
    <x:row r="86" ht="44" customHeight="1">
      <x:c r="A86" s="8" t="str">
        <x:v>G002</x:v>
      </x:c>
      <x:c r="B86" s="8" t="str">
        <x:v>2t7WUuJeko7</x:v>
      </x:c>
      <x:c r="C86" s="8" t="n">
        <x:v>10</x:v>
      </x:c>
      <x:c r="D86" s="12" t="str">
        <x:v>待审</x:v>
      </x:c>
      <x:c r="E86" s="12" t="str">
        <x:v>未定</x:v>
      </x:c>
      <x:c r="F86" s="12" t="n">
        <x:v>15</x:v>
      </x:c>
      <x:c r="G86" s="12" t="str">
        <x:v>全部历史</x:v>
      </x:c>
      <x:c r="H86" s="8" t="n">
        <x:v>0</x:v>
      </x:c>
      <x:c r="I86" s="8" t="n">
        <x:v>0</x:v>
      </x:c>
      <x:c r="J86" s="8" t="n">
        <x:v>19</x:v>
      </x:c>
      <x:c r="K86" s="8" t="n">
        <x:v>0</x:v>
      </x:c>
      <x:c r="L86" s="8" t="n">
        <x:f>MAX(0,F86-IF(G86="当前19人",I86,H86))</x:f>
        <x:v>15</x:v>
      </x:c>
      <x:c r="M86" s="8" t="n">
        <x:f>IF(OR(D86="候选纳入",D86="特殊对照"),L86,0)</x:f>
        <x:v>0</x:v>
      </x:c>
      <x:c r="N86" s="8" t="str">
        <x:f>IF(L86&lt;=J86,"可达","人数不足")</x:f>
        <x:v>可达</x:v>
      </x:c>
      <x:c r="O86" s="8" t="str">
        <x:f>IF(AND(F86&lt;15,E86&lt;&gt;"审查确认简单"),"需确认简单","")</x:f>
      </x:c>
      <x:c r="P86" s="8" t="str">
        <x:v>厨房与用餐</x:v>
      </x:c>
      <x:c r="Q86" s="8" t="str">
        <x:v>早期争议复核导出.user_type</x:v>
      </x:c>
      <x:c r="R86" s="8" t="str">
        <x:v>优先审查目标（未选定）</x:v>
      </x:c>
      <x:c r="S86" s="8" t="str">
        <x:v>02/03/05与10/17存在用户明确指出的视点难度差异，适合比较同房不同信息条件。</x:v>
      </x:c>
      <x:c r="T86" s="8" t="str">
        <x:v>靠后门位置使远端厨房缩小；仍非独立餐室</x:v>
      </x:c>
      <x:c r="U86" s="8" t="str">
        <x:v>全组没有无辅助历史，来源图和目标图都要计算费用；原状态空白表示已看而非明确完成所有确认。</x:v>
      </x:c>
      <x:c r="V86" s="8" t="str">
        <x:v>https://raw.githubusercontent.com/Sparkling-Flames/3D_Manhattan_label/844a4694627e1eacc6bfb48911897335e48ecc17/data/mp3d_layout/valid/img/2t7WUuJeko7_8898d3cea28d404f8f69c3a3bce52371.png</x:v>
      </x:c>
      <x:c r="W86" s="8" t="str">
        <x:v>2t7WUuJeko7_8898d3cea28d404f8f69c3a3bce52371</x:v>
      </x:c>
    </x:row>
    <x:row r="87" ht="44" customHeight="1">
      <x:c r="A87" s="8" t="str">
        <x:v>G002</x:v>
      </x:c>
      <x:c r="B87" s="8" t="str">
        <x:v>2t7WUuJeko7</x:v>
      </x:c>
      <x:c r="C87" s="8" t="n">
        <x:v>17</x:v>
      </x:c>
      <x:c r="D87" s="12" t="str">
        <x:v>待审</x:v>
      </x:c>
      <x:c r="E87" s="12" t="str">
        <x:v>未定</x:v>
      </x:c>
      <x:c r="F87" s="12" t="n">
        <x:v>15</x:v>
      </x:c>
      <x:c r="G87" s="12" t="str">
        <x:v>全部历史</x:v>
      </x:c>
      <x:c r="H87" s="8" t="n">
        <x:v>0</x:v>
      </x:c>
      <x:c r="I87" s="8" t="n">
        <x:v>0</x:v>
      </x:c>
      <x:c r="J87" s="8" t="n">
        <x:v>19</x:v>
      </x:c>
      <x:c r="K87" s="8" t="n">
        <x:v>0</x:v>
      </x:c>
      <x:c r="L87" s="8" t="n">
        <x:f>MAX(0,F87-IF(G87="当前19人",I87,H87))</x:f>
        <x:v>15</x:v>
      </x:c>
      <x:c r="M87" s="8" t="n">
        <x:f>IF(OR(D87="候选纳入",D87="特殊对照"),L87,0)</x:f>
        <x:v>0</x:v>
      </x:c>
      <x:c r="N87" s="8" t="str">
        <x:f>IF(L87&lt;=J87,"可达","人数不足")</x:f>
        <x:v>可达</x:v>
      </x:c>
      <x:c r="O87" s="8" t="str">
        <x:f>IF(AND(F87&lt;15,E87&lt;&gt;"审查确认简单"),"需确认简单","")</x:f>
      </x:c>
      <x:c r="P87" s="8" t="str">
        <x:v>厨房与用餐</x:v>
      </x:c>
      <x:c r="Q87" s="8" t="str">
        <x:v>早期争议复核导出.user_type</x:v>
      </x:c>
      <x:c r="R87" s="8" t="str">
        <x:v>优先审查目标（未选定）</x:v>
      </x:c>
      <x:c r="S87" s="8" t="str">
        <x:v>02/03/05与10/17存在用户明确指出的视点难度差异，适合比较同房不同信息条件。</x:v>
      </x:c>
      <x:c r="T87" s="8" t="str">
        <x:v>较贴近炉灶，设备遮挡与外餐室开口比例改变</x:v>
      </x:c>
      <x:c r="U87" s="8" t="str">
        <x:v>全组没有无辅助历史，来源图和目标图都要计算费用；原状态空白表示已看而非明确完成所有确认。</x:v>
      </x:c>
      <x:c r="V87" s="8" t="str">
        <x:v>https://raw.githubusercontent.com/Sparkling-Flames/3D_Manhattan_label/844a4694627e1eacc6bfb48911897335e48ecc17/data/mp3d_layout/valid/img/2t7WUuJeko7_edc7b2c25f054ce8992ae3fb66e80881.png</x:v>
      </x:c>
      <x:c r="W87" s="8" t="str">
        <x:v>2t7WUuJeko7_edc7b2c25f054ce8992ae3fb66e80881</x:v>
      </x:c>
    </x:row>
    <x:row r="88" ht="44" customHeight="1">
      <x:c r="A88" s="8" t="str">
        <x:v>G178</x:v>
      </x:c>
      <x:c r="B88" s="8" t="str">
        <x:v>uNb9QFRL6hY</x:v>
      </x:c>
      <x:c r="C88" s="8" t="n">
        <x:v>7</x:v>
      </x:c>
      <x:c r="D88" s="12" t="str">
        <x:v>待审</x:v>
      </x:c>
      <x:c r="E88" s="12" t="str">
        <x:v>未定</x:v>
      </x:c>
      <x:c r="F88" s="12" t="n">
        <x:v>15</x:v>
      </x:c>
      <x:c r="G88" s="12" t="str">
        <x:v>全部历史</x:v>
      </x:c>
      <x:c r="H88" s="8" t="n">
        <x:v>0</x:v>
      </x:c>
      <x:c r="I88" s="8" t="n">
        <x:v>0</x:v>
      </x:c>
      <x:c r="J88" s="8" t="n">
        <x:v>19</x:v>
      </x:c>
      <x:c r="K88" s="8" t="n">
        <x:v>0</x:v>
      </x:c>
      <x:c r="L88" s="8" t="n">
        <x:f>MAX(0,F88-IF(G88="当前19人",I88,H88))</x:f>
        <x:v>15</x:v>
      </x:c>
      <x:c r="M88" s="8" t="n">
        <x:f>IF(OR(D88="候选纳入",D88="特殊对照"),L88,0)</x:f>
        <x:v>0</x:v>
      </x:c>
      <x:c r="N88" s="8" t="str">
        <x:f>IF(L88&lt;=J88,"可达","人数不足")</x:f>
        <x:v>可达</x:v>
      </x:c>
      <x:c r="O88" s="8" t="str">
        <x:f>IF(AND(F88&lt;15,E88&lt;&gt;"审查确认简单"),"需确认简单","")</x:f>
      </x:c>
      <x:c r="P88" s="8" t="str">
        <x:v>工作与学习</x:v>
      </x:c>
      <x:c r="Q88" s="8" t="str">
        <x:v>早期争议复核导出.user_type</x:v>
      </x:c>
      <x:c r="R88" s="8" t="str">
        <x:v>优先审查目标（未选定）</x:v>
      </x:c>
      <x:c r="S88" s="8" t="str">
        <x:v>7图书房，现有记录无该房的Manual/Semi接触；07/14/48与柜旁视点可做信息变化研究。</x:v>
      </x:c>
      <x:c r="T88" s="8" t="str">
        <x:v>固定柜遮墙脚、桌椅遮挡</x:v>
      </x:c>
      <x:c r="U88" s="8" t="str">
        <x:v>书柜和桌椅遮墙脚，不能因预期相近就判简单；78/79接近，若只取有限视点应避免全部为近重复。</x:v>
      </x:c>
      <x:c r="V88" s="8" t="str">
        <x:v>https://raw.githubusercontent.com/Sparkling-Flames/3D_Manhattan_label/844a4694627e1eacc6bfb48911897335e48ecc17/data/mp3d_layout/test/img/uNb9QFRL6hY_104d12b732794414a42edd37ac554bff.png</x:v>
      </x:c>
      <x:c r="W88" s="8" t="str">
        <x:v>uNb9QFRL6hY_104d12b732794414a42edd37ac554bff</x:v>
      </x:c>
    </x:row>
    <x:row r="89" ht="44" customHeight="1">
      <x:c r="A89" s="8" t="str">
        <x:v>G178</x:v>
      </x:c>
      <x:c r="B89" s="8" t="str">
        <x:v>uNb9QFRL6hY</x:v>
      </x:c>
      <x:c r="C89" s="8" t="n">
        <x:v>14</x:v>
      </x:c>
      <x:c r="D89" s="12" t="str">
        <x:v>待审</x:v>
      </x:c>
      <x:c r="E89" s="12" t="str">
        <x:v>未定</x:v>
      </x:c>
      <x:c r="F89" s="12" t="n">
        <x:v>15</x:v>
      </x:c>
      <x:c r="G89" s="12" t="str">
        <x:v>全部历史</x:v>
      </x:c>
      <x:c r="H89" s="8" t="n">
        <x:v>0</x:v>
      </x:c>
      <x:c r="I89" s="8" t="n">
        <x:v>0</x:v>
      </x:c>
      <x:c r="J89" s="8" t="n">
        <x:v>19</x:v>
      </x:c>
      <x:c r="K89" s="8" t="n">
        <x:v>0</x:v>
      </x:c>
      <x:c r="L89" s="8" t="n">
        <x:f>MAX(0,F89-IF(G89="当前19人",I89,H89))</x:f>
        <x:v>15</x:v>
      </x:c>
      <x:c r="M89" s="8" t="n">
        <x:f>IF(OR(D89="候选纳入",D89="特殊对照"),L89,0)</x:f>
        <x:v>0</x:v>
      </x:c>
      <x:c r="N89" s="8" t="str">
        <x:f>IF(L89&lt;=J89,"可达","人数不足")</x:f>
        <x:v>可达</x:v>
      </x:c>
      <x:c r="O89" s="8" t="str">
        <x:f>IF(AND(F89&lt;15,E89&lt;&gt;"审查确认简单"),"需确认简单","")</x:f>
      </x:c>
      <x:c r="P89" s="8" t="str">
        <x:v>工作与学习</x:v>
      </x:c>
      <x:c r="Q89" s="8" t="str">
        <x:v>早期争议复核导出.user_type</x:v>
      </x:c>
      <x:c r="R89" s="8" t="str">
        <x:v>优先审查目标（未选定）</x:v>
      </x:c>
      <x:c r="S89" s="8" t="str">
        <x:v>7图书房，现有记录无该房的Manual/Semi接触；07/14/48与柜旁视点可做信息变化研究。</x:v>
      </x:c>
      <x:c r="T89" s="8" t="str">
        <x:v>敞开双门外长廊增加范围信息</x:v>
      </x:c>
      <x:c r="U89" s="8" t="str">
        <x:v>书柜和桌椅遮墙脚，不能因预期相近就判简单；78/79接近，若只取有限视点应避免全部为近重复。</x:v>
      </x:c>
      <x:c r="V89" s="8" t="str">
        <x:v>https://raw.githubusercontent.com/Sparkling-Flames/3D_Manhattan_label/844a4694627e1eacc6bfb48911897335e48ecc17/data/mp3d_layout/test/img/uNb9QFRL6hY_23ed105b1f0f48bbb6ec025df9d313e7.png</x:v>
      </x:c>
      <x:c r="W89" s="8" t="str">
        <x:v>uNb9QFRL6hY_23ed105b1f0f48bbb6ec025df9d313e7</x:v>
      </x:c>
    </x:row>
    <x:row r="90" ht="44" customHeight="1">
      <x:c r="A90" s="8" t="str">
        <x:v>G178</x:v>
      </x:c>
      <x:c r="B90" s="8" t="str">
        <x:v>uNb9QFRL6hY</x:v>
      </x:c>
      <x:c r="C90" s="8" t="n">
        <x:v>48</x:v>
      </x:c>
      <x:c r="D90" s="12" t="str">
        <x:v>待审</x:v>
      </x:c>
      <x:c r="E90" s="12" t="str">
        <x:v>未定</x:v>
      </x:c>
      <x:c r="F90" s="12" t="n">
        <x:v>15</x:v>
      </x:c>
      <x:c r="G90" s="12" t="str">
        <x:v>全部历史</x:v>
      </x:c>
      <x:c r="H90" s="8" t="n">
        <x:v>0</x:v>
      </x:c>
      <x:c r="I90" s="8" t="n">
        <x:v>0</x:v>
      </x:c>
      <x:c r="J90" s="8" t="n">
        <x:v>19</x:v>
      </x:c>
      <x:c r="K90" s="8" t="n">
        <x:v>0</x:v>
      </x:c>
      <x:c r="L90" s="8" t="n">
        <x:f>MAX(0,F90-IF(G90="当前19人",I90,H90))</x:f>
        <x:v>15</x:v>
      </x:c>
      <x:c r="M90" s="8" t="n">
        <x:f>IF(OR(D90="候选纳入",D90="特殊对照"),L90,0)</x:f>
        <x:v>0</x:v>
      </x:c>
      <x:c r="N90" s="8" t="str">
        <x:f>IF(L90&lt;=J90,"可达","人数不足")</x:f>
        <x:v>可达</x:v>
      </x:c>
      <x:c r="O90" s="8" t="str">
        <x:f>IF(AND(F90&lt;15,E90&lt;&gt;"审查确认简单"),"需确认简单","")</x:f>
      </x:c>
      <x:c r="P90" s="8" t="str">
        <x:v>工作与学习</x:v>
      </x:c>
      <x:c r="Q90" s="8" t="str">
        <x:v>早期争议复核导出.user_type</x:v>
      </x:c>
      <x:c r="R90" s="8" t="str">
        <x:v>优先审查目标（未选定）</x:v>
      </x:c>
      <x:c r="S90" s="8" t="str">
        <x:v>7图书房，现有记录无该房的Manual/Semi接触；07/14/48与柜旁视点可做信息变化研究。</x:v>
      </x:c>
      <x:c r="T90" s="8" t="str">
        <x:v>桌椅遮挡，近外门</x:v>
      </x:c>
      <x:c r="U90" s="8" t="str">
        <x:v>书柜和桌椅遮墙脚，不能因预期相近就判简单；78/79接近，若只取有限视点应避免全部为近重复。</x:v>
      </x:c>
      <x:c r="V90" s="8" t="str">
        <x:v>https://raw.githubusercontent.com/Sparkling-Flames/3D_Manhattan_label/844a4694627e1eacc6bfb48911897335e48ecc17/data/mp3d_layout/test/img/uNb9QFRL6hY_9b675f28ab5f4345bf06ed5c77097426.png</x:v>
      </x:c>
      <x:c r="W90" s="8" t="str">
        <x:v>uNb9QFRL6hY_9b675f28ab5f4345bf06ed5c77097426</x:v>
      </x:c>
    </x:row>
    <x:row r="91" ht="44" customHeight="1">
      <x:c r="A91" s="8" t="str">
        <x:v>G178</x:v>
      </x:c>
      <x:c r="B91" s="8" t="str">
        <x:v>uNb9QFRL6hY</x:v>
      </x:c>
      <x:c r="C91" s="8" t="n">
        <x:v>72</x:v>
      </x:c>
      <x:c r="D91" s="12" t="str">
        <x:v>待审</x:v>
      </x:c>
      <x:c r="E91" s="12" t="str">
        <x:v>未定</x:v>
      </x:c>
      <x:c r="F91" s="12" t="n">
        <x:v>15</x:v>
      </x:c>
      <x:c r="G91" s="12" t="str">
        <x:v>全部历史</x:v>
      </x:c>
      <x:c r="H91" s="8" t="n">
        <x:v>0</x:v>
      </x:c>
      <x:c r="I91" s="8" t="n">
        <x:v>0</x:v>
      </x:c>
      <x:c r="J91" s="8" t="n">
        <x:v>19</x:v>
      </x:c>
      <x:c r="K91" s="8" t="n">
        <x:v>0</x:v>
      </x:c>
      <x:c r="L91" s="8" t="n">
        <x:f>MAX(0,F91-IF(G91="当前19人",I91,H91))</x:f>
        <x:v>15</x:v>
      </x:c>
      <x:c r="M91" s="8" t="n">
        <x:f>IF(OR(D91="候选纳入",D91="特殊对照"),L91,0)</x:f>
        <x:v>0</x:v>
      </x:c>
      <x:c r="N91" s="8" t="str">
        <x:f>IF(L91&lt;=J91,"可达","人数不足")</x:f>
        <x:v>可达</x:v>
      </x:c>
      <x:c r="O91" s="8" t="str">
        <x:f>IF(AND(F91&lt;15,E91&lt;&gt;"审查确认简单"),"需确认简单","")</x:f>
      </x:c>
      <x:c r="P91" s="8" t="str">
        <x:v>工作与学习</x:v>
      </x:c>
      <x:c r="Q91" s="8" t="str">
        <x:v>早期争议复核导出.user_type</x:v>
      </x:c>
      <x:c r="R91" s="8" t="str">
        <x:v>替代/特殊视点，另审</x:v>
      </x:c>
      <x:c r="S91" s="8" t="str">
        <x:v>7图书房，现有记录无该房的Manual/Semi接触；07/14/48与柜旁视点可做信息变化研究。</x:v>
      </x:c>
      <x:c r="T91" s="8" t="str">
        <x:v>内门开口增大，仍见书房主围合</x:v>
      </x:c>
      <x:c r="U91" s="8" t="str">
        <x:v>书柜和桌椅遮墙脚，不能因预期相近就判简单；78/79接近，若只取有限视点应避免全部为近重复。</x:v>
      </x:c>
      <x:c r="V91" s="8" t="str">
        <x:v>https://raw.githubusercontent.com/Sparkling-Flames/3D_Manhattan_label/844a4694627e1eacc6bfb48911897335e48ecc17/data/mp3d_layout/test/img/uNb9QFRL6hY_d5c47aa99b274a67b305aa601234f1f1.png</x:v>
      </x:c>
      <x:c r="W91" s="8" t="str">
        <x:v>uNb9QFRL6hY_d5c47aa99b274a67b305aa601234f1f1</x:v>
      </x:c>
    </x:row>
    <x:row r="92" ht="44" customHeight="1">
      <x:c r="A92" s="8" t="str">
        <x:v>G178</x:v>
      </x:c>
      <x:c r="B92" s="8" t="str">
        <x:v>uNb9QFRL6hY</x:v>
      </x:c>
      <x:c r="C92" s="8" t="n">
        <x:v>78</x:v>
      </x:c>
      <x:c r="D92" s="12" t="str">
        <x:v>待审</x:v>
      </x:c>
      <x:c r="E92" s="12" t="str">
        <x:v>未定</x:v>
      </x:c>
      <x:c r="F92" s="12" t="n">
        <x:v>15</x:v>
      </x:c>
      <x:c r="G92" s="12" t="str">
        <x:v>全部历史</x:v>
      </x:c>
      <x:c r="H92" s="8" t="n">
        <x:v>0</x:v>
      </x:c>
      <x:c r="I92" s="8" t="n">
        <x:v>0</x:v>
      </x:c>
      <x:c r="J92" s="8" t="n">
        <x:v>19</x:v>
      </x:c>
      <x:c r="K92" s="8" t="n">
        <x:v>0</x:v>
      </x:c>
      <x:c r="L92" s="8" t="n">
        <x:f>MAX(0,F92-IF(G92="当前19人",I92,H92))</x:f>
        <x:v>15</x:v>
      </x:c>
      <x:c r="M92" s="8" t="n">
        <x:f>IF(OR(D92="候选纳入",D92="特殊对照"),L92,0)</x:f>
        <x:v>0</x:v>
      </x:c>
      <x:c r="N92" s="8" t="str">
        <x:f>IF(L92&lt;=J92,"可达","人数不足")</x:f>
        <x:v>可达</x:v>
      </x:c>
      <x:c r="O92" s="8" t="str">
        <x:f>IF(AND(F92&lt;15,E92&lt;&gt;"审查确认简单"),"需确认简单","")</x:f>
      </x:c>
      <x:c r="P92" s="8" t="str">
        <x:v>工作与学习</x:v>
      </x:c>
      <x:c r="Q92" s="8" t="str">
        <x:v>早期争议复核导出.user_type</x:v>
      </x:c>
      <x:c r="R92" s="8" t="str">
        <x:v>优先审查目标（未选定）</x:v>
      </x:c>
      <x:c r="S92" s="8" t="str">
        <x:v>7图书房，现有记录无该房的Manual/Semi接触；07/14/48与柜旁视点可做信息变化研究。</x:v>
      </x:c>
      <x:c r="T92" s="8" t="str">
        <x:v>桌椅与固定柜遮挡</x:v>
      </x:c>
      <x:c r="U92" s="8" t="str">
        <x:v>书柜和桌椅遮墙脚，不能因预期相近就判简单；78/79接近，若只取有限视点应避免全部为近重复。</x:v>
      </x:c>
      <x:c r="V92" s="8" t="str">
        <x:v>https://raw.githubusercontent.com/Sparkling-Flames/3D_Manhattan_label/844a4694627e1eacc6bfb48911897335e48ecc17/data/mp3d_layout/test/img/uNb9QFRL6hY_e0b8950793b447bd8b9f916e98e849d1.png</x:v>
      </x:c>
      <x:c r="W92" s="8" t="str">
        <x:v>uNb9QFRL6hY_e0b8950793b447bd8b9f916e98e849d1</x:v>
      </x:c>
    </x:row>
    <x:row r="93" ht="44" customHeight="1">
      <x:c r="A93" s="8" t="str">
        <x:v>G178</x:v>
      </x:c>
      <x:c r="B93" s="8" t="str">
        <x:v>uNb9QFRL6hY</x:v>
      </x:c>
      <x:c r="C93" s="8" t="n">
        <x:v>79</x:v>
      </x:c>
      <x:c r="D93" s="12" t="str">
        <x:v>待审</x:v>
      </x:c>
      <x:c r="E93" s="12" t="str">
        <x:v>未定</x:v>
      </x:c>
      <x:c r="F93" s="12" t="n">
        <x:v>15</x:v>
      </x:c>
      <x:c r="G93" s="12" t="str">
        <x:v>全部历史</x:v>
      </x:c>
      <x:c r="H93" s="8" t="n">
        <x:v>0</x:v>
      </x:c>
      <x:c r="I93" s="8" t="n">
        <x:v>0</x:v>
      </x:c>
      <x:c r="J93" s="8" t="n">
        <x:v>19</x:v>
      </x:c>
      <x:c r="K93" s="8" t="n">
        <x:v>0</x:v>
      </x:c>
      <x:c r="L93" s="8" t="n">
        <x:f>MAX(0,F93-IF(G93="当前19人",I93,H93))</x:f>
        <x:v>15</x:v>
      </x:c>
      <x:c r="M93" s="8" t="n">
        <x:f>IF(OR(D93="候选纳入",D93="特殊对照"),L93,0)</x:f>
        <x:v>0</x:v>
      </x:c>
      <x:c r="N93" s="8" t="str">
        <x:f>IF(L93&lt;=J93,"可达","人数不足")</x:f>
        <x:v>可达</x:v>
      </x:c>
      <x:c r="O93" s="8" t="str">
        <x:f>IF(AND(F93&lt;15,E93&lt;&gt;"审查确认简单"),"需确认简单","")</x:f>
      </x:c>
      <x:c r="P93" s="8" t="str">
        <x:v>工作与学习</x:v>
      </x:c>
      <x:c r="Q93" s="8" t="str">
        <x:v>早期争议复核导出.user_type</x:v>
      </x:c>
      <x:c r="R93" s="8" t="str">
        <x:v>替代/特殊视点，另审</x:v>
      </x:c>
      <x:c r="S93" s="8" t="str">
        <x:v>7图书房，现有记录无该房的Manual/Semi接触；07/14/48与柜旁视点可做信息变化研究。</x:v>
      </x:c>
      <x:c r="T93" s="8" t="str">
        <x:v>与78视点相近，仍需后续按图分析</x:v>
      </x:c>
      <x:c r="U93" s="8" t="str">
        <x:v>书柜和桌椅遮墙脚，不能因预期相近就判简单；78/79接近，若只取有限视点应避免全部为近重复。</x:v>
      </x:c>
      <x:c r="V93" s="8" t="str">
        <x:v>https://raw.githubusercontent.com/Sparkling-Flames/3D_Manhattan_label/844a4694627e1eacc6bfb48911897335e48ecc17/data/mp3d_layout/test/img/uNb9QFRL6hY_e24473d2b8a24568b89c1c4c2a4a9bf1.png</x:v>
      </x:c>
      <x:c r="W93" s="8" t="str">
        <x:v>uNb9QFRL6hY_e24473d2b8a24568b89c1c4c2a4a9bf1</x:v>
      </x:c>
    </x:row>
    <x:row r="94" ht="44" customHeight="1">
      <x:c r="A94" s="8" t="str">
        <x:v>G178</x:v>
      </x:c>
      <x:c r="B94" s="8" t="str">
        <x:v>uNb9QFRL6hY</x:v>
      </x:c>
      <x:c r="C94" s="8" t="n">
        <x:v>87</x:v>
      </x:c>
      <x:c r="D94" s="12" t="str">
        <x:v>待审</x:v>
      </x:c>
      <x:c r="E94" s="12" t="str">
        <x:v>未定</x:v>
      </x:c>
      <x:c r="F94" s="12" t="n">
        <x:v>15</x:v>
      </x:c>
      <x:c r="G94" s="12" t="str">
        <x:v>全部历史</x:v>
      </x:c>
      <x:c r="H94" s="8" t="n">
        <x:v>0</x:v>
      </x:c>
      <x:c r="I94" s="8" t="n">
        <x:v>0</x:v>
      </x:c>
      <x:c r="J94" s="8" t="n">
        <x:v>19</x:v>
      </x:c>
      <x:c r="K94" s="8" t="n">
        <x:v>0</x:v>
      </x:c>
      <x:c r="L94" s="8" t="n">
        <x:f>MAX(0,F94-IF(G94="当前19人",I94,H94))</x:f>
        <x:v>15</x:v>
      </x:c>
      <x:c r="M94" s="8" t="n">
        <x:f>IF(OR(D94="候选纳入",D94="特殊对照"),L94,0)</x:f>
        <x:v>0</x:v>
      </x:c>
      <x:c r="N94" s="8" t="str">
        <x:f>IF(L94&lt;=J94,"可达","人数不足")</x:f>
        <x:v>可达</x:v>
      </x:c>
      <x:c r="O94" s="8" t="str">
        <x:f>IF(AND(F94&lt;15,E94&lt;&gt;"审查确认简单"),"需确认简单","")</x:f>
      </x:c>
      <x:c r="P94" s="8" t="str">
        <x:v>工作与学习</x:v>
      </x:c>
      <x:c r="Q94" s="8" t="str">
        <x:v>早期争议复核导出.user_type</x:v>
      </x:c>
      <x:c r="R94" s="8" t="str">
        <x:v>替代/特殊视点，另审</x:v>
      </x:c>
      <x:c r="S94" s="8" t="str">
        <x:v>7图书房，现有记录无该房的Manual/Semi接触；07/14/48与柜旁视点可做信息变化研究。</x:v>
      </x:c>
      <x:c r="T94" s="8" t="str">
        <x:v>近外门，桌椅遮挡方向变</x:v>
      </x:c>
      <x:c r="U94" s="8" t="str">
        <x:v>书柜和桌椅遮墙脚，不能因预期相近就判简单；78/79接近，若只取有限视点应避免全部为近重复。</x:v>
      </x:c>
      <x:c r="V94" s="8" t="str">
        <x:v>https://raw.githubusercontent.com/Sparkling-Flames/3D_Manhattan_label/844a4694627e1eacc6bfb48911897335e48ecc17/data/mp3d_layout/test/img/uNb9QFRL6hY_fd411e4f6035431593833d9d0beb4d32.png</x:v>
      </x:c>
      <x:c r="W94" s="8" t="str">
        <x:v>uNb9QFRL6hY_fd411e4f6035431593833d9d0beb4d32</x:v>
      </x:c>
    </x:row>
    <x:row r="95" ht="44" customHeight="1">
      <x:c r="A95" s="8" t="str">
        <x:v>G090</x:v>
      </x:c>
      <x:c r="B95" s="8" t="str">
        <x:v>e9zR4mvMWw7</x:v>
      </x:c>
      <x:c r="C95" s="8" t="n">
        <x:v>3</x:v>
      </x:c>
      <x:c r="D95" s="12" t="str">
        <x:v>待审</x:v>
      </x:c>
      <x:c r="E95" s="12" t="str">
        <x:v>未定</x:v>
      </x:c>
      <x:c r="F95" s="12" t="n">
        <x:v>15</x:v>
      </x:c>
      <x:c r="G95" s="12" t="str">
        <x:v>全部历史</x:v>
      </x:c>
      <x:c r="H95" s="8" t="n">
        <x:v>0</x:v>
      </x:c>
      <x:c r="I95" s="8" t="n">
        <x:v>0</x:v>
      </x:c>
      <x:c r="J95" s="8" t="n">
        <x:v>0</x:v>
      </x:c>
      <x:c r="K95" s="8" t="n">
        <x:v>26</x:v>
      </x:c>
      <x:c r="L95" s="8" t="n">
        <x:f>MAX(0,F95-IF(G95="当前19人",I95,H95))</x:f>
        <x:v>15</x:v>
      </x:c>
      <x:c r="M95" s="8" t="n">
        <x:f>IF(OR(D95="候选纳入",D95="特殊对照"),L95,0)</x:f>
        <x:v>0</x:v>
      </x:c>
      <x:c r="N95" s="8" t="str">
        <x:f>IF(L95&lt;=J95,"可达","人数不足")</x:f>
        <x:v>人数不足</x:v>
      </x:c>
      <x:c r="O95" s="8" t="str">
        <x:f>IF(AND(F95&lt;15,E95&lt;&gt;"审查确认简单"),"需确认简单","")</x:f>
      </x:c>
      <x:c r="P95" s="8" t="str">
        <x:v>卧室</x:v>
      </x:c>
      <x:c r="Q95" s="8" t="str">
        <x:v>早期争议复核导出.user_type</x:v>
      </x:c>
      <x:c r="R95" s="8" t="str">
        <x:v>替代/特殊视点，另审</x:v>
      </x:c>
      <x:c r="S95" s="8" t="str">
        <x:v>7图卧室，可比较墙侧、入口、卫浴口和衣帽口；03已有模型辅助历史可作独立条件的背景。</x:v>
      </x:c>
      <x:c r="T95" s="8" t="str">
        <x:v>双门外延范围歧义</x:v>
      </x:c>
      <x:c r="U95" s="8" t="str">
        <x:v>19人全部做过03 Semi。新图是未标过的视点，不是从未接触房间；11号v2粗类待拆解，07/26与08/15近似。</x:v>
      </x:c>
      <x:c r="V95" s="8" t="str">
        <x:v>https://raw.githubusercontent.com/Sparkling-Flames/3D_Manhattan_label/844a4694627e1eacc6bfb48911897335e48ecc17/data/mp3d_layout/test/img/e9zR4mvMWw7_12c84e77f6564013a032220e8f9037e8.png</x:v>
      </x:c>
      <x:c r="W95" s="8" t="str">
        <x:v>e9zR4mvMWw7_12c84e77f6564013a032220e8f9037e8</x:v>
      </x:c>
    </x:row>
    <x:row r="96" ht="44" customHeight="1">
      <x:c r="A96" s="8" t="str">
        <x:v>G090</x:v>
      </x:c>
      <x:c r="B96" s="8" t="str">
        <x:v>e9zR4mvMWw7</x:v>
      </x:c>
      <x:c r="C96" s="8" t="n">
        <x:v>7</x:v>
      </x:c>
      <x:c r="D96" s="12" t="str">
        <x:v>待审</x:v>
      </x:c>
      <x:c r="E96" s="12" t="str">
        <x:v>未定</x:v>
      </x:c>
      <x:c r="F96" s="12" t="n">
        <x:v>15</x:v>
      </x:c>
      <x:c r="G96" s="12" t="str">
        <x:v>全部历史</x:v>
      </x:c>
      <x:c r="H96" s="8" t="n">
        <x:v>0</x:v>
      </x:c>
      <x:c r="I96" s="8" t="n">
        <x:v>0</x:v>
      </x:c>
      <x:c r="J96" s="8" t="n">
        <x:v>19</x:v>
      </x:c>
      <x:c r="K96" s="8" t="n">
        <x:v>0</x:v>
      </x:c>
      <x:c r="L96" s="8" t="n">
        <x:f>MAX(0,F96-IF(G96="当前19人",I96,H96))</x:f>
        <x:v>15</x:v>
      </x:c>
      <x:c r="M96" s="8" t="n">
        <x:f>IF(OR(D96="候选纳入",D96="特殊对照"),L96,0)</x:f>
        <x:v>0</x:v>
      </x:c>
      <x:c r="N96" s="8" t="str">
        <x:f>IF(L96&lt;=J96,"可达","人数不足")</x:f>
        <x:v>可达</x:v>
      </x:c>
      <x:c r="O96" s="8" t="str">
        <x:f>IF(AND(F96&lt;15,E96&lt;&gt;"审查确认简单"),"需确认简单","")</x:f>
      </x:c>
      <x:c r="P96" s="8" t="str">
        <x:v>卧室</x:v>
      </x:c>
      <x:c r="Q96" s="8" t="str">
        <x:v>早期争议复核导出.user_type</x:v>
      </x:c>
      <x:c r="R96" s="8" t="str">
        <x:v>优先审查目标（未选定）</x:v>
      </x:c>
      <x:c r="S96" s="8" t="str">
        <x:v>7图卧室，可比较墙侧、入口、卫浴口和衣帽口；03已有模型辅助历史可作独立条件的背景。</x:v>
      </x:c>
      <x:c r="T96" s="8" t="str">
        <x:v>门外卫浴及走道可见</x:v>
      </x:c>
      <x:c r="U96" s="8" t="str">
        <x:v>19人全部做过03 Semi。新图是未标过的视点，不是从未接触房间；11号v2粗类待拆解，07/26与08/15近似。</x:v>
      </x:c>
      <x:c r="V96" s="8" t="str">
        <x:v>https://raw.githubusercontent.com/Sparkling-Flames/3D_Manhattan_label/844a4694627e1eacc6bfb48911897335e48ecc17/data/mp3d_layout/test/img/e9zR4mvMWw7_192fb2a16486430a96b34dffc2e8cbbc.png</x:v>
      </x:c>
      <x:c r="W96" s="8" t="str">
        <x:v>e9zR4mvMWw7_192fb2a16486430a96b34dffc2e8cbbc</x:v>
      </x:c>
    </x:row>
    <x:row r="97" ht="44" customHeight="1">
      <x:c r="A97" s="8" t="str">
        <x:v>G090</x:v>
      </x:c>
      <x:c r="B97" s="8" t="str">
        <x:v>e9zR4mvMWw7</x:v>
      </x:c>
      <x:c r="C97" s="8" t="n">
        <x:v>8</x:v>
      </x:c>
      <x:c r="D97" s="12" t="str">
        <x:v>待审</x:v>
      </x:c>
      <x:c r="E97" s="12" t="str">
        <x:v>未定</x:v>
      </x:c>
      <x:c r="F97" s="12" t="n">
        <x:v>15</x:v>
      </x:c>
      <x:c r="G97" s="12" t="str">
        <x:v>全部历史</x:v>
      </x:c>
      <x:c r="H97" s="8" t="n">
        <x:v>0</x:v>
      </x:c>
      <x:c r="I97" s="8" t="n">
        <x:v>0</x:v>
      </x:c>
      <x:c r="J97" s="8" t="n">
        <x:v>19</x:v>
      </x:c>
      <x:c r="K97" s="8" t="n">
        <x:v>0</x:v>
      </x:c>
      <x:c r="L97" s="8" t="n">
        <x:f>MAX(0,F97-IF(G97="当前19人",I97,H97))</x:f>
        <x:v>15</x:v>
      </x:c>
      <x:c r="M97" s="8" t="n">
        <x:f>IF(OR(D97="候选纳入",D97="特殊对照"),L97,0)</x:f>
        <x:v>0</x:v>
      </x:c>
      <x:c r="N97" s="8" t="str">
        <x:f>IF(L97&lt;=J97,"可达","人数不足")</x:f>
        <x:v>可达</x:v>
      </x:c>
      <x:c r="O97" s="8" t="str">
        <x:f>IF(AND(F97&lt;15,E97&lt;&gt;"审查确认简单"),"需确认简单","")</x:f>
      </x:c>
      <x:c r="P97" s="8" t="str">
        <x:v>卧室</x:v>
      </x:c>
      <x:c r="Q97" s="8" t="str">
        <x:v>早期争议复核导出.user_type</x:v>
      </x:c>
      <x:c r="R97" s="8" t="str">
        <x:v>优先审查目标（未选定）</x:v>
      </x:c>
      <x:c r="S97" s="8" t="str">
        <x:v>7图卧室，可比较墙侧、入口、卫浴口和衣帽口；03已有模型辅助历史可作独立条件的背景。</x:v>
      </x:c>
      <x:c r="T97" s="8" t="str">
        <x:v>近房门，楼梯平台信息</x:v>
      </x:c>
      <x:c r="U97" s="8" t="str">
        <x:v>19人全部做过03 Semi。新图是未标过的视点，不是从未接触房间；11号v2粗类待拆解，07/26与08/15近似。</x:v>
      </x:c>
      <x:c r="V97" s="8" t="str">
        <x:v>https://raw.githubusercontent.com/Sparkling-Flames/3D_Manhattan_label/844a4694627e1eacc6bfb48911897335e48ecc17/data/mp3d_layout/test/img/e9zR4mvMWw7_1cbe7276fcee411c8695f5f11ac45eb5.png</x:v>
      </x:c>
      <x:c r="W97" s="8" t="str">
        <x:v>e9zR4mvMWw7_1cbe7276fcee411c8695f5f11ac45eb5</x:v>
      </x:c>
    </x:row>
    <x:row r="98" ht="44" customHeight="1">
      <x:c r="A98" s="8" t="str">
        <x:v>G090</x:v>
      </x:c>
      <x:c r="B98" s="8" t="str">
        <x:v>e9zR4mvMWw7</x:v>
      </x:c>
      <x:c r="C98" s="8" t="n">
        <x:v>11</x:v>
      </x:c>
      <x:c r="D98" s="12" t="str">
        <x:v>待审</x:v>
      </x:c>
      <x:c r="E98" s="12" t="str">
        <x:v>未定</x:v>
      </x:c>
      <x:c r="F98" s="12" t="n">
        <x:v>15</x:v>
      </x:c>
      <x:c r="G98" s="12" t="str">
        <x:v>全部历史</x:v>
      </x:c>
      <x:c r="H98" s="8" t="n">
        <x:v>0</x:v>
      </x:c>
      <x:c r="I98" s="8" t="n">
        <x:v>0</x:v>
      </x:c>
      <x:c r="J98" s="8" t="n">
        <x:v>19</x:v>
      </x:c>
      <x:c r="K98" s="8" t="n">
        <x:v>0</x:v>
      </x:c>
      <x:c r="L98" s="8" t="n">
        <x:f>MAX(0,F98-IF(G98="当前19人",I98,H98))</x:f>
        <x:v>15</x:v>
      </x:c>
      <x:c r="M98" s="8" t="n">
        <x:f>IF(OR(D98="候选纳入",D98="特殊对照"),L98,0)</x:f>
        <x:v>0</x:v>
      </x:c>
      <x:c r="N98" s="8" t="str">
        <x:f>IF(L98&lt;=J98,"可达","人数不足")</x:f>
        <x:v>可达</x:v>
      </x:c>
      <x:c r="O98" s="8" t="str">
        <x:f>IF(AND(F98&lt;15,E98&lt;&gt;"审查确认简单"),"需确认简单","")</x:f>
      </x:c>
      <x:c r="P98" s="8" t="str">
        <x:v>待拆解(null)</x:v>
      </x:c>
      <x:c r="Q98" s="8" t="str">
        <x:v>早期争议复核导出.user_type</x:v>
      </x:c>
      <x:c r="R98" s="8" t="str">
        <x:v>优先审查目标（未选定）</x:v>
      </x:c>
      <x:c r="S98" s="8" t="str">
        <x:v>7图卧室，可比较墙侧、入口、卫浴口和衣帽口；03已有模型辅助历史可作独立条件的背景。</x:v>
      </x:c>
      <x:c r="T98" s="8" t="str">
        <x:v>贴卫浴入口，白瓷砖小室信息显著</x:v>
      </x:c>
      <x:c r="U98" s="8" t="str">
        <x:v>19人全部做过03 Semi。新图是未标过的视点，不是从未接触房间；11号v2粗类待拆解，07/26与08/15近似。</x:v>
      </x:c>
      <x:c r="V98" s="8" t="str">
        <x:v>https://raw.githubusercontent.com/Sparkling-Flames/3D_Manhattan_label/844a4694627e1eacc6bfb48911897335e48ecc17/data/mp3d_layout/test/img/e9zR4mvMWw7_1f8ee74dbb254dff85771776279eae94.png</x:v>
      </x:c>
      <x:c r="W98" s="8" t="str">
        <x:v>e9zR4mvMWw7_1f8ee74dbb254dff85771776279eae94</x:v>
      </x:c>
    </x:row>
    <x:row r="99" ht="44" customHeight="1">
      <x:c r="A99" s="8" t="str">
        <x:v>G090</x:v>
      </x:c>
      <x:c r="B99" s="8" t="str">
        <x:v>e9zR4mvMWw7</x:v>
      </x:c>
      <x:c r="C99" s="8" t="n">
        <x:v>28</x:v>
      </x:c>
      <x:c r="D99" s="12" t="str">
        <x:v>待审</x:v>
      </x:c>
      <x:c r="E99" s="12" t="str">
        <x:v>未定</x:v>
      </x:c>
      <x:c r="F99" s="12" t="n">
        <x:v>15</x:v>
      </x:c>
      <x:c r="G99" s="12" t="str">
        <x:v>全部历史</x:v>
      </x:c>
      <x:c r="H99" s="8" t="n">
        <x:v>0</x:v>
      </x:c>
      <x:c r="I99" s="8" t="n">
        <x:v>0</x:v>
      </x:c>
      <x:c r="J99" s="8" t="n">
        <x:v>19</x:v>
      </x:c>
      <x:c r="K99" s="8" t="n">
        <x:v>0</x:v>
      </x:c>
      <x:c r="L99" s="8" t="n">
        <x:f>MAX(0,F99-IF(G99="当前19人",I99,H99))</x:f>
        <x:v>15</x:v>
      </x:c>
      <x:c r="M99" s="8" t="n">
        <x:f>IF(OR(D99="候选纳入",D99="特殊对照"),L99,0)</x:f>
        <x:v>0</x:v>
      </x:c>
      <x:c r="N99" s="8" t="str">
        <x:f>IF(L99&lt;=J99,"可达","人数不足")</x:f>
        <x:v>可达</x:v>
      </x:c>
      <x:c r="O99" s="8" t="str">
        <x:f>IF(AND(F99&lt;15,E99&lt;&gt;"审查确认简单"),"需确认简单","")</x:f>
      </x:c>
      <x:c r="P99" s="8" t="str">
        <x:v>卧室</x:v>
      </x:c>
      <x:c r="Q99" s="8" t="str">
        <x:v>早期争议复核导出.user_type</x:v>
      </x:c>
      <x:c r="R99" s="8" t="str">
        <x:v>优先审查目标（未选定）</x:v>
      </x:c>
      <x:c r="S99" s="8" t="str">
        <x:v>7图卧室，可比较墙侧、入口、卫浴口和衣帽口；03已有模型辅助历史可作独立条件的背景。</x:v>
      </x:c>
      <x:c r="T99" s="8" t="str">
        <x:v>双开衣帽门与卫浴口可见</x:v>
      </x:c>
      <x:c r="U99" s="8" t="str">
        <x:v>19人全部做过03 Semi。新图是未标过的视点，不是从未接触房间；11号v2粗类待拆解，07/26与08/15近似。</x:v>
      </x:c>
      <x:c r="V99" s="8" t="str">
        <x:v>https://raw.githubusercontent.com/Sparkling-Flames/3D_Manhattan_label/844a4694627e1eacc6bfb48911897335e48ecc17/data/mp3d_layout/test/img/e9zR4mvMWw7_891cb55a08dd4aea9ee76656f6b4850d.png</x:v>
      </x:c>
      <x:c r="W99" s="8" t="str">
        <x:v>e9zR4mvMWw7_891cb55a08dd4aea9ee76656f6b4850d</x:v>
      </x:c>
    </x:row>
    <x:row r="100" ht="44" customHeight="1">
      <x:c r="A100" s="8" t="str">
        <x:v>G090</x:v>
      </x:c>
      <x:c r="B100" s="8" t="str">
        <x:v>e9zR4mvMWw7</x:v>
      </x:c>
      <x:c r="C100" s="8" t="n">
        <x:v>26</x:v>
      </x:c>
      <x:c r="D100" s="12" t="str">
        <x:v>待审</x:v>
      </x:c>
      <x:c r="E100" s="12" t="str">
        <x:v>未定</x:v>
      </x:c>
      <x:c r="F100" s="12" t="n">
        <x:v>15</x:v>
      </x:c>
      <x:c r="G100" s="12" t="str">
        <x:v>全部历史</x:v>
      </x:c>
      <x:c r="H100" s="8" t="n">
        <x:v>0</x:v>
      </x:c>
      <x:c r="I100" s="8" t="n">
        <x:v>0</x:v>
      </x:c>
      <x:c r="J100" s="8" t="n">
        <x:v>19</x:v>
      </x:c>
      <x:c r="K100" s="8" t="n">
        <x:v>0</x:v>
      </x:c>
      <x:c r="L100" s="8" t="n">
        <x:f>MAX(0,F100-IF(G100="当前19人",I100,H100))</x:f>
        <x:v>15</x:v>
      </x:c>
      <x:c r="M100" s="8" t="n">
        <x:f>IF(OR(D100="候选纳入",D100="特殊对照"),L100,0)</x:f>
        <x:v>0</x:v>
      </x:c>
      <x:c r="N100" s="8" t="str">
        <x:f>IF(L100&lt;=J100,"可达","人数不足")</x:f>
        <x:v>可达</x:v>
      </x:c>
      <x:c r="O100" s="8" t="str">
        <x:f>IF(AND(F100&lt;15,E100&lt;&gt;"审查确认简单"),"需确认简单","")</x:f>
      </x:c>
      <x:c r="P100" s="8" t="str">
        <x:v>卧室</x:v>
      </x:c>
      <x:c r="Q100" s="8" t="str">
        <x:v>早期争议复核导出.user_type</x:v>
      </x:c>
      <x:c r="R100" s="8" t="str">
        <x:v>替代/特殊视点，另审</x:v>
      </x:c>
      <x:c r="S100" s="8" t="str">
        <x:v>7图卧室，可比较墙侧、入口、卫浴口和衣帽口；03已有模型辅助历史可作独立条件的背景。</x:v>
      </x:c>
      <x:c r="T100" s="8" t="str">
        <x:v>与07近似视点，卫浴灯光不同</x:v>
      </x:c>
      <x:c r="U100" s="8" t="str">
        <x:v>19人全部做过03 Semi。新图是未标过的视点，不是从未接触房间；11号v2粗类待拆解，07/26与08/15近似。</x:v>
      </x:c>
      <x:c r="V100" s="8" t="str">
        <x:v>https://raw.githubusercontent.com/Sparkling-Flames/3D_Manhattan_label/844a4694627e1eacc6bfb48911897335e48ecc17/data/mp3d_layout/test/img/e9zR4mvMWw7_83347153d2184d33869626c6c83318f9.png</x:v>
      </x:c>
      <x:c r="W100" s="8" t="str">
        <x:v>e9zR4mvMWw7_83347153d2184d33869626c6c83318f9</x:v>
      </x:c>
    </x:row>
    <x:row r="101" ht="44" customHeight="1">
      <x:c r="A101" s="8" t="str">
        <x:v>G090</x:v>
      </x:c>
      <x:c r="B101" s="8" t="str">
        <x:v>e9zR4mvMWw7</x:v>
      </x:c>
      <x:c r="C101" s="8" t="n">
        <x:v>15</x:v>
      </x:c>
      <x:c r="D101" s="12" t="str">
        <x:v>待审</x:v>
      </x:c>
      <x:c r="E101" s="12" t="str">
        <x:v>未定</x:v>
      </x:c>
      <x:c r="F101" s="12" t="n">
        <x:v>15</x:v>
      </x:c>
      <x:c r="G101" s="12" t="str">
        <x:v>全部历史</x:v>
      </x:c>
      <x:c r="H101" s="8" t="n">
        <x:v>0</x:v>
      </x:c>
      <x:c r="I101" s="8" t="n">
        <x:v>0</x:v>
      </x:c>
      <x:c r="J101" s="8" t="n">
        <x:v>19</x:v>
      </x:c>
      <x:c r="K101" s="8" t="n">
        <x:v>0</x:v>
      </x:c>
      <x:c r="L101" s="8" t="n">
        <x:f>MAX(0,F101-IF(G101="当前19人",I101,H101))</x:f>
        <x:v>15</x:v>
      </x:c>
      <x:c r="M101" s="8" t="n">
        <x:f>IF(OR(D101="候选纳入",D101="特殊对照"),L101,0)</x:f>
        <x:v>0</x:v>
      </x:c>
      <x:c r="N101" s="8" t="str">
        <x:f>IF(L101&lt;=J101,"可达","人数不足")</x:f>
        <x:v>可达</x:v>
      </x:c>
      <x:c r="O101" s="8" t="str">
        <x:f>IF(AND(F101&lt;15,E101&lt;&gt;"审查确认简单"),"需确认简单","")</x:f>
      </x:c>
      <x:c r="P101" s="8" t="str">
        <x:v>卧室</x:v>
      </x:c>
      <x:c r="Q101" s="8" t="str">
        <x:v>早期争议复核导出.user_type</x:v>
      </x:c>
      <x:c r="R101" s="8" t="str">
        <x:v>替代/特殊视点，另审</x:v>
      </x:c>
      <x:c r="S101" s="8" t="str">
        <x:v>7图卧室，可比较墙侧、入口、卫浴口和衣帽口；03已有模型辅助历史可作独立条件的背景。</x:v>
      </x:c>
      <x:c r="T101" s="8" t="str">
        <x:v>楼梯平台信息与08相似</x:v>
      </x:c>
      <x:c r="U101" s="8" t="str">
        <x:v>19人全部做过03 Semi。新图是未标过的视点，不是从未接触房间；11号v2粗类待拆解，07/26与08/15近似。</x:v>
      </x:c>
      <x:c r="V101" s="8" t="str">
        <x:v>https://raw.githubusercontent.com/Sparkling-Flames/3D_Manhattan_label/844a4694627e1eacc6bfb48911897335e48ecc17/data/mp3d_layout/test/img/e9zR4mvMWw7_2e52341d21b940b5b38a9e26c4cf4200.png</x:v>
      </x:c>
      <x:c r="W101" s="8" t="str">
        <x:v>e9zR4mvMWw7_2e52341d21b940b5b38a9e26c4cf4200</x:v>
      </x:c>
    </x:row>
    <x:row r="102" ht="44" customHeight="1">
      <x:c r="A102" s="8" t="str">
        <x:v>G027</x:v>
      </x:c>
      <x:c r="B102" s="8" t="str">
        <x:v>B6ByNegPMKs</x:v>
      </x:c>
      <x:c r="C102" s="8" t="n">
        <x:v>11</x:v>
      </x:c>
      <x:c r="D102" s="12" t="str">
        <x:v>待审</x:v>
      </x:c>
      <x:c r="E102" s="12" t="str">
        <x:v>未定</x:v>
      </x:c>
      <x:c r="F102" s="12" t="n">
        <x:v>15</x:v>
      </x:c>
      <x:c r="G102" s="12" t="str">
        <x:v>全部历史</x:v>
      </x:c>
      <x:c r="H102" s="8" t="n">
        <x:v>25</x:v>
      </x:c>
      <x:c r="I102" s="8" t="n">
        <x:v>19</x:v>
      </x:c>
      <x:c r="J102" s="8" t="n">
        <x:v>0</x:v>
      </x:c>
      <x:c r="K102" s="8" t="n">
        <x:v>0</x:v>
      </x:c>
      <x:c r="L102" s="8" t="n">
        <x:f>MAX(0,F102-IF(G102="当前19人",I102,H102))</x:f>
        <x:v>0</x:v>
      </x:c>
      <x:c r="M102" s="8" t="n">
        <x:f>IF(OR(D102="候选纳入",D102="特殊对照"),L102,0)</x:f>
        <x:v>0</x:v>
      </x:c>
      <x:c r="N102" s="8" t="str">
        <x:f>IF(L102&lt;=J102,"可达","人数不足")</x:f>
        <x:v>可达</x:v>
      </x:c>
      <x:c r="O102" s="8" t="str">
        <x:f>IF(AND(F102&lt;15,E102&lt;&gt;"审查确认简单"),"需确认简单","")</x:f>
      </x:c>
      <x:c r="P102" s="8" t="str">
        <x:v>通行与连接</x:v>
      </x:c>
      <x:c r="Q102" s="8" t="str">
        <x:v>早期争议复核导出.user_type</x:v>
      </x:c>
      <x:c r="R102" s="8" t="str">
        <x:v>已有来源，优先复用</x:v>
      </x:c>
      <x:c r="S102" s="8" t="str">
        <x:v>11号已有25人，旧几何回放提示晚期多簇；45为新目标，可补充不只早稳定的来源。</x:v>
      </x:c>
      <x:c r="T102" s="8" t="str">
        <x:v>近处玻璃/门框及透过玻璃的其他空间可能影响范围识别；顶面梁管不能直接等同布局墙界。</x:v>
      </x:c>
      <x:c r="U102" s="8" t="str">
        <x:v>多簇线索依赖聚类/窗口参数，不是无条件真值；原难度相似性待定。</x:v>
      </x:c>
      <x:c r="V102" s="8" t="str">
        <x:v>https://raw.githubusercontent.com/Sparkling-Flames/3D_Manhattan_label/844a4694627e1eacc6bfb48911897335e48ecc17/data/mp3d_layout/test/img/B6ByNegPMKs_4b983544c13946e3a3a518c565ad1086.png</x:v>
      </x:c>
      <x:c r="W102" s="8" t="str">
        <x:v>B6ByNegPMKs_4b983544c13946e3a3a518c565ad1086</x:v>
      </x:c>
    </x:row>
    <x:row r="103" ht="44" customHeight="1">
      <x:c r="A103" s="8" t="str">
        <x:v>G027</x:v>
      </x:c>
      <x:c r="B103" s="8" t="str">
        <x:v>B6ByNegPMKs</x:v>
      </x:c>
      <x:c r="C103" s="8" t="n">
        <x:v>45</x:v>
      </x:c>
      <x:c r="D103" s="12" t="str">
        <x:v>待审</x:v>
      </x:c>
      <x:c r="E103" s="12" t="str">
        <x:v>未定</x:v>
      </x:c>
      <x:c r="F103" s="12" t="n">
        <x:v>15</x:v>
      </x:c>
      <x:c r="G103" s="12" t="str">
        <x:v>全部历史</x:v>
      </x:c>
      <x:c r="H103" s="8" t="n">
        <x:v>0</x:v>
      </x:c>
      <x:c r="I103" s="8" t="n">
        <x:v>0</x:v>
      </x:c>
      <x:c r="J103" s="8" t="n">
        <x:v>19</x:v>
      </x:c>
      <x:c r="K103" s="8" t="n">
        <x:v>0</x:v>
      </x:c>
      <x:c r="L103" s="8" t="n">
        <x:f>MAX(0,F103-IF(G103="当前19人",I103,H103))</x:f>
        <x:v>15</x:v>
      </x:c>
      <x:c r="M103" s="8" t="n">
        <x:f>IF(OR(D103="候选纳入",D103="特殊对照"),L103,0)</x:f>
        <x:v>0</x:v>
      </x:c>
      <x:c r="N103" s="8" t="str">
        <x:f>IF(L103&lt;=J103,"可达","人数不足")</x:f>
        <x:v>可达</x:v>
      </x:c>
      <x:c r="O103" s="8" t="str">
        <x:f>IF(AND(F103&lt;15,E103&lt;&gt;"审查确认简单"),"需确认简单","")</x:f>
      </x:c>
      <x:c r="P103" s="8" t="str">
        <x:v>通行与连接</x:v>
      </x:c>
      <x:c r="Q103" s="8" t="str">
        <x:v>早期争议复核导出.user_type</x:v>
      </x:c>
      <x:c r="R103" s="8" t="str">
        <x:v>优先审查目标（未选定）</x:v>
      </x:c>
      <x:c r="S103" s="8" t="str">
        <x:v>11号已有25人，旧几何回放提示晚期多簇；45为新目标，可补充不只早稳定的来源。</x:v>
      </x:c>
      <x:c r="T103" s="8" t="str">
        <x:v>近处玻璃/门框及透过玻璃的其他空间可能影响范围识别；顶面梁管不能直接等同布局墙界。</x:v>
      </x:c>
      <x:c r="U103" s="8" t="str">
        <x:v>多簇线索依赖聚类/窗口参数，不是无条件真值；原难度相似性待定。</x:v>
      </x:c>
      <x:c r="V103" s="8" t="str">
        <x:v>https://raw.githubusercontent.com/Sparkling-Flames/3D_Manhattan_label/844a4694627e1eacc6bfb48911897335e48ecc17/data/mp3d_layout/test/img/B6ByNegPMKs_dbc3c79b1ce74d209239b1572bd249bb.png</x:v>
      </x:c>
      <x:c r="W103" s="8" t="str">
        <x:v>B6ByNegPMKs_dbc3c79b1ce74d209239b1572bd249bb</x:v>
      </x:c>
    </x:row>
    <x:row r="104" ht="44" customHeight="1">
      <x:c r="A104" s="8" t="str">
        <x:v>G202</x:v>
      </x:c>
      <x:c r="B104" s="8" t="str">
        <x:v>wc2JMjhGNzB</x:v>
      </x:c>
      <x:c r="C104" s="8" t="n">
        <x:v>2</x:v>
      </x:c>
      <x:c r="D104" s="12" t="str">
        <x:v>待审</x:v>
      </x:c>
      <x:c r="E104" s="12" t="str">
        <x:v>未定</x:v>
      </x:c>
      <x:c r="F104" s="12" t="n">
        <x:v>15</x:v>
      </x:c>
      <x:c r="G104" s="12" t="str">
        <x:v>全部历史</x:v>
      </x:c>
      <x:c r="H104" s="8" t="n">
        <x:v>0</x:v>
      </x:c>
      <x:c r="I104" s="8" t="n">
        <x:v>0</x:v>
      </x:c>
      <x:c r="J104" s="8" t="n">
        <x:v>19</x:v>
      </x:c>
      <x:c r="K104" s="8" t="n">
        <x:v>0</x:v>
      </x:c>
      <x:c r="L104" s="8" t="n">
        <x:f>MAX(0,F104-IF(G104="当前19人",I104,H104))</x:f>
        <x:v>15</x:v>
      </x:c>
      <x:c r="M104" s="8" t="n">
        <x:f>IF(OR(D104="候选纳入",D104="特殊对照"),L104,0)</x:f>
        <x:v>0</x:v>
      </x:c>
      <x:c r="N104" s="8" t="str">
        <x:f>IF(L104&lt;=J104,"可达","人数不足")</x:f>
        <x:v>可达</x:v>
      </x:c>
      <x:c r="O104" s="8" t="str">
        <x:f>IF(AND(F104&lt;15,E104&lt;&gt;"审查确认简单"),"需确认简单","")</x:f>
      </x:c>
      <x:c r="P104" s="8" t="str">
        <x:v>卫浴</x:v>
      </x:c>
      <x:c r="Q104" s="8" t="str">
        <x:v>早期争议复核导出.user_type</x:v>
      </x:c>
      <x:c r="R104" s="8" t="str">
        <x:v>优先审查目标（未选定）</x:v>
      </x:c>
      <x:c r="S104" s="8" t="str">
        <x:v>53号23人，26号6人；02/25/51提供主卫内部视点，可与长廊口26、坐便间门旁53对照。</x:v>
      </x:c>
      <x:c r="T104" s="8" t="str">
        <x:v>镜面、浴缸遮挡与淋浴隔断是共享信息条件。</x:v>
      </x:c>
      <x:c r="U104" s="8" t="str">
        <x:v>原状态仍需讨论；26范围歧义不能靠多数票自动变成错误。</x:v>
      </x:c>
      <x:c r="V104" s="8" t="str">
        <x:v>https://raw.githubusercontent.com/Sparkling-Flames/3D_Manhattan_label/844a4694627e1eacc6bfb48911897335e48ecc17/data/mp3d_layout/test/img/wc2JMjhGNzB_02bbd23673904a6980dc0e22b11c6a35.png</x:v>
      </x:c>
      <x:c r="W104" s="8" t="str">
        <x:v>wc2JMjhGNzB_02bbd23673904a6980dc0e22b11c6a35</x:v>
      </x:c>
    </x:row>
    <x:row r="105" ht="44" customHeight="1">
      <x:c r="A105" s="8" t="str">
        <x:v>G202</x:v>
      </x:c>
      <x:c r="B105" s="8" t="str">
        <x:v>wc2JMjhGNzB</x:v>
      </x:c>
      <x:c r="C105" s="8" t="n">
        <x:v>25</x:v>
      </x:c>
      <x:c r="D105" s="12" t="str">
        <x:v>待审</x:v>
      </x:c>
      <x:c r="E105" s="12" t="str">
        <x:v>未定</x:v>
      </x:c>
      <x:c r="F105" s="12" t="n">
        <x:v>15</x:v>
      </x:c>
      <x:c r="G105" s="12" t="str">
        <x:v>全部历史</x:v>
      </x:c>
      <x:c r="H105" s="8" t="n">
        <x:v>0</x:v>
      </x:c>
      <x:c r="I105" s="8" t="n">
        <x:v>0</x:v>
      </x:c>
      <x:c r="J105" s="8" t="n">
        <x:v>19</x:v>
      </x:c>
      <x:c r="K105" s="8" t="n">
        <x:v>0</x:v>
      </x:c>
      <x:c r="L105" s="8" t="n">
        <x:f>MAX(0,F105-IF(G105="当前19人",I105,H105))</x:f>
        <x:v>15</x:v>
      </x:c>
      <x:c r="M105" s="8" t="n">
        <x:f>IF(OR(D105="候选纳入",D105="特殊对照"),L105,0)</x:f>
        <x:v>0</x:v>
      </x:c>
      <x:c r="N105" s="8" t="str">
        <x:f>IF(L105&lt;=J105,"可达","人数不足")</x:f>
        <x:v>可达</x:v>
      </x:c>
      <x:c r="O105" s="8" t="str">
        <x:f>IF(AND(F105&lt;15,E105&lt;&gt;"审查确认简单"),"需确认简单","")</x:f>
      </x:c>
      <x:c r="P105" s="8" t="str">
        <x:v>卫浴</x:v>
      </x:c>
      <x:c r="Q105" s="8" t="str">
        <x:v>早期争议复核导出.user_type</x:v>
      </x:c>
      <x:c r="R105" s="8" t="str">
        <x:v>优先审查目标（未选定）</x:v>
      </x:c>
      <x:c r="S105" s="8" t="str">
        <x:v>53号23人，26号6人；02/25/51提供主卫内部视点，可与长廊口26、坐便间门旁53对照。</x:v>
      </x:c>
      <x:c r="T105" s="8" t="str">
        <x:v>镜面和淋浴边界共同存在，设施遮挡随视点改变。</x:v>
      </x:c>
      <x:c r="U105" s="8" t="str">
        <x:v>原状态仍需讨论；26范围歧义不能靠多数票自动变成错误。</x:v>
      </x:c>
      <x:c r="V105" s="8" t="str">
        <x:v>https://raw.githubusercontent.com/Sparkling-Flames/3D_Manhattan_label/844a4694627e1eacc6bfb48911897335e48ecc17/data/mp3d_layout/test/img/wc2JMjhGNzB_479b5e13d201492086bb3b69be5b124d.png</x:v>
      </x:c>
      <x:c r="W105" s="8" t="str">
        <x:v>wc2JMjhGNzB_479b5e13d201492086bb3b69be5b124d</x:v>
      </x:c>
    </x:row>
    <x:row r="106" ht="44" customHeight="1">
      <x:c r="A106" s="8" t="str">
        <x:v>G202</x:v>
      </x:c>
      <x:c r="B106" s="8" t="str">
        <x:v>wc2JMjhGNzB</x:v>
      </x:c>
      <x:c r="C106" s="8" t="n">
        <x:v>26</x:v>
      </x:c>
      <x:c r="D106" s="12" t="str">
        <x:v>待审</x:v>
      </x:c>
      <x:c r="E106" s="12" t="str">
        <x:v>未定</x:v>
      </x:c>
      <x:c r="F106" s="12" t="n">
        <x:v>15</x:v>
      </x:c>
      <x:c r="G106" s="12" t="str">
        <x:v>全部历史</x:v>
      </x:c>
      <x:c r="H106" s="8" t="n">
        <x:v>6</x:v>
      </x:c>
      <x:c r="I106" s="8" t="n">
        <x:v>5</x:v>
      </x:c>
      <x:c r="J106" s="8" t="n">
        <x:v>14</x:v>
      </x:c>
      <x:c r="K106" s="8" t="n">
        <x:v>0</x:v>
      </x:c>
      <x:c r="L106" s="8" t="n">
        <x:f>MAX(0,F106-IF(G106="当前19人",I106,H106))</x:f>
        <x:v>9</x:v>
      </x:c>
      <x:c r="M106" s="8" t="n">
        <x:f>IF(OR(D106="候选纳入",D106="特殊对照"),L106,0)</x:f>
        <x:v>0</x:v>
      </x:c>
      <x:c r="N106" s="8" t="str">
        <x:f>IF(L106&lt;=J106,"可达","人数不足")</x:f>
        <x:v>可达</x:v>
      </x:c>
      <x:c r="O106" s="8" t="str">
        <x:f>IF(AND(F106&lt;15,E106&lt;&gt;"审查确认简单"),"需确认简单","")</x:f>
      </x:c>
      <x:c r="P106" s="8" t="str">
        <x:v>卫浴</x:v>
      </x:c>
      <x:c r="Q106" s="8" t="str">
        <x:v>后续41图亲审.current_classification.coarse_type</x:v>
      </x:c>
      <x:c r="R106" s="8" t="str">
        <x:v>优先审查目标（未选定）</x:v>
      </x:c>
      <x:c r="S106" s="8" t="str">
        <x:v>53号23人，26号6人；02/25/51提供主卫内部视点，可与长廊口26、坐便间门旁53对照。</x:v>
      </x:c>
      <x:c r="T106" s="8" t="str">
        <x:v>长廊延伸信息突出，与主卫中央视点不等价；不修改人工交界结果。</x:v>
      </x:c>
      <x:c r="U106" s="8" t="str">
        <x:v>原状态仍需讨论；26范围歧义不能靠多数票自动变成错误。</x:v>
      </x:c>
      <x:c r="V106" s="8" t="str">
        <x:v>https://raw.githubusercontent.com/Sparkling-Flames/3D_Manhattan_label/844a4694627e1eacc6bfb48911897335e48ecc17/data/mp3d_layout/test/img/wc2JMjhGNzB_4884da3227464ab5b82f631ff22205bd.png</x:v>
      </x:c>
      <x:c r="W106" s="8" t="str">
        <x:v>wc2JMjhGNzB_4884da3227464ab5b82f631ff22205bd</x:v>
      </x:c>
    </x:row>
    <x:row r="107" ht="44" customHeight="1">
      <x:c r="A107" s="8" t="str">
        <x:v>G202</x:v>
      </x:c>
      <x:c r="B107" s="8" t="str">
        <x:v>wc2JMjhGNzB</x:v>
      </x:c>
      <x:c r="C107" s="8" t="n">
        <x:v>51</x:v>
      </x:c>
      <x:c r="D107" s="12" t="str">
        <x:v>待审</x:v>
      </x:c>
      <x:c r="E107" s="12" t="str">
        <x:v>未定</x:v>
      </x:c>
      <x:c r="F107" s="12" t="n">
        <x:v>15</x:v>
      </x:c>
      <x:c r="G107" s="12" t="str">
        <x:v>全部历史</x:v>
      </x:c>
      <x:c r="H107" s="8" t="n">
        <x:v>0</x:v>
      </x:c>
      <x:c r="I107" s="8" t="n">
        <x:v>0</x:v>
      </x:c>
      <x:c r="J107" s="8" t="n">
        <x:v>19</x:v>
      </x:c>
      <x:c r="K107" s="8" t="n">
        <x:v>0</x:v>
      </x:c>
      <x:c r="L107" s="8" t="n">
        <x:f>MAX(0,F107-IF(G107="当前19人",I107,H107))</x:f>
        <x:v>15</x:v>
      </x:c>
      <x:c r="M107" s="8" t="n">
        <x:f>IF(OR(D107="候选纳入",D107="特殊对照"),L107,0)</x:f>
        <x:v>0</x:v>
      </x:c>
      <x:c r="N107" s="8" t="str">
        <x:f>IF(L107&lt;=J107,"可达","人数不足")</x:f>
        <x:v>可达</x:v>
      </x:c>
      <x:c r="O107" s="8" t="str">
        <x:f>IF(AND(F107&lt;15,E107&lt;&gt;"审查确认简单"),"需确认简单","")</x:f>
      </x:c>
      <x:c r="P107" s="8" t="str">
        <x:v>卫浴</x:v>
      </x:c>
      <x:c r="Q107" s="8" t="str">
        <x:v>早期争议复核导出.user_type</x:v>
      </x:c>
      <x:c r="R107" s="8" t="str">
        <x:v>优先审查目标（未选定）</x:v>
      </x:c>
      <x:c r="S107" s="8" t="str">
        <x:v>53号23人，26号6人；02/25/51提供主卫内部视点，可与长廊口26、坐便间门旁53对照。</x:v>
      </x:c>
      <x:c r="T107" s="8" t="str">
        <x:v>镜面、浴缸、玻璃隔断共享，窗台与柜后墙角需推断。</x:v>
      </x:c>
      <x:c r="U107" s="8" t="str">
        <x:v>原状态仍需讨论；26范围歧义不能靠多数票自动变成错误。</x:v>
      </x:c>
      <x:c r="V107" s="8" t="str">
        <x:v>https://raw.githubusercontent.com/Sparkling-Flames/3D_Manhattan_label/844a4694627e1eacc6bfb48911897335e48ecc17/data/mp3d_layout/test/img/wc2JMjhGNzB_aeb3199e10354e45a4884bb185c03257.png</x:v>
      </x:c>
      <x:c r="W107" s="8" t="str">
        <x:v>wc2JMjhGNzB_aeb3199e10354e45a4884bb185c03257</x:v>
      </x:c>
    </x:row>
    <x:row r="108" ht="44" customHeight="1">
      <x:c r="A108" s="8" t="str">
        <x:v>G202</x:v>
      </x:c>
      <x:c r="B108" s="8" t="str">
        <x:v>wc2JMjhGNzB</x:v>
      </x:c>
      <x:c r="C108" s="8" t="n">
        <x:v>53</x:v>
      </x:c>
      <x:c r="D108" s="12" t="str">
        <x:v>待审</x:v>
      </x:c>
      <x:c r="E108" s="12" t="str">
        <x:v>未定</x:v>
      </x:c>
      <x:c r="F108" s="12" t="n">
        <x:v>15</x:v>
      </x:c>
      <x:c r="G108" s="12" t="str">
        <x:v>全部历史</x:v>
      </x:c>
      <x:c r="H108" s="8" t="n">
        <x:v>23</x:v>
      </x:c>
      <x:c r="I108" s="8" t="n">
        <x:v>19</x:v>
      </x:c>
      <x:c r="J108" s="8" t="n">
        <x:v>0</x:v>
      </x:c>
      <x:c r="K108" s="8" t="n">
        <x:v>0</x:v>
      </x:c>
      <x:c r="L108" s="8" t="n">
        <x:f>MAX(0,F108-IF(G108="当前19人",I108,H108))</x:f>
        <x:v>0</x:v>
      </x:c>
      <x:c r="M108" s="8" t="n">
        <x:f>IF(OR(D108="候选纳入",D108="特殊对照"),L108,0)</x:f>
        <x:v>0</x:v>
      </x:c>
      <x:c r="N108" s="8" t="str">
        <x:f>IF(L108&lt;=J108,"可达","人数不足")</x:f>
        <x:v>可达</x:v>
      </x:c>
      <x:c r="O108" s="8" t="str">
        <x:f>IF(AND(F108&lt;15,E108&lt;&gt;"审查确认简单"),"需确认简单","")</x:f>
      </x:c>
      <x:c r="P108" s="8" t="str">
        <x:v>卫浴</x:v>
      </x:c>
      <x:c r="Q108" s="8" t="str">
        <x:v>早期争议复核导出.user_type</x:v>
      </x:c>
      <x:c r="R108" s="8" t="str">
        <x:v>已有来源，优先复用</x:v>
      </x:c>
      <x:c r="S108" s="8" t="str">
        <x:v>53号23人，26号6人；02/25/51提供主卫内部视点，可与长廊口26、坐便间门旁53对照。</x:v>
      </x:c>
      <x:c r="T108" s="8" t="str">
        <x:v>坐便间围合及玻璃淋浴近景使范围信息与主卫中央不同。</x:v>
      </x:c>
      <x:c r="U108" s="8" t="str">
        <x:v>原状态仍需讨论；26范围歧义不能靠多数票自动变成错误。</x:v>
      </x:c>
      <x:c r="V108" s="8" t="str">
        <x:v>https://raw.githubusercontent.com/Sparkling-Flames/3D_Manhattan_label/844a4694627e1eacc6bfb48911897335e48ecc17/data/mp3d_layout/test/img/wc2JMjhGNzB_b41b10699d614f24851b56a9a0e743c6.png</x:v>
      </x:c>
      <x:c r="W108" s="8" t="str">
        <x:v>wc2JMjhGNzB_b41b10699d614f24851b56a9a0e743c6</x:v>
      </x:c>
    </x:row>
    <x:row r="109" ht="44" customHeight="1">
      <x:c r="A109" s="8" t="str">
        <x:v>G036</x:v>
      </x:c>
      <x:c r="B109" s="8" t="str">
        <x:v>B6ByNegPMKs</x:v>
      </x:c>
      <x:c r="C109" s="8" t="n">
        <x:v>33</x:v>
      </x:c>
      <x:c r="D109" s="12" t="str">
        <x:v>待审</x:v>
      </x:c>
      <x:c r="E109" s="12" t="str">
        <x:v>未定</x:v>
      </x:c>
      <x:c r="F109" s="12" t="n">
        <x:v>15</x:v>
      </x:c>
      <x:c r="G109" s="12" t="str">
        <x:v>全部历史</x:v>
      </x:c>
      <x:c r="H109" s="8" t="n">
        <x:v>25</x:v>
      </x:c>
      <x:c r="I109" s="8" t="n">
        <x:v>19</x:v>
      </x:c>
      <x:c r="J109" s="8" t="n">
        <x:v>0</x:v>
      </x:c>
      <x:c r="K109" s="8" t="n">
        <x:v>0</x:v>
      </x:c>
      <x:c r="L109" s="8" t="n">
        <x:f>MAX(0,F109-IF(G109="当前19人",I109,H109))</x:f>
        <x:v>0</x:v>
      </x:c>
      <x:c r="M109" s="8" t="n">
        <x:f>IF(OR(D109="候选纳入",D109="特殊对照"),L109,0)</x:f>
        <x:v>0</x:v>
      </x:c>
      <x:c r="N109" s="8" t="str">
        <x:f>IF(L109&lt;=J109,"可达","人数不足")</x:f>
        <x:v>可达</x:v>
      </x:c>
      <x:c r="O109" s="8" t="str">
        <x:f>IF(AND(F109&lt;15,E109&lt;&gt;"审查确认简单"),"需确认简单","")</x:f>
      </x:c>
      <x:c r="P109" s="8" t="str">
        <x:v>通行与连接</x:v>
      </x:c>
      <x:c r="Q109" s="8" t="str">
        <x:v>早期争议复核导出.user_type</x:v>
      </x:c>
      <x:c r="R109" s="8" t="str">
        <x:v>已有来源，优先复用</x:v>
      </x:c>
      <x:c r="S109" s="8" t="str">
        <x:v>33号25人，37号6人；有同房闭合差异，15人目标可利用旧记录低成本补齐。</x:v>
      </x:c>
      <x:c r="T109" s="8" t="str">
        <x:v>近处玻璃/门框及透过玻璃的其他空间可能影响范围识别；顶面梁管不能直接等同布局墙界。</x:v>
      </x:c>
      <x:c r="U109" s="8" t="str">
        <x:v>37有4份Semi；全部历史清洁Manual容量17，当前19人容量16，不能无新工人就保证19份独立Manual。</x:v>
      </x:c>
      <x:c r="V109" s="8" t="str">
        <x:v>https://raw.githubusercontent.com/Sparkling-Flames/3D_Manhattan_label/844a4694627e1eacc6bfb48911897335e48ecc17/data/mp3d_layout/test/img/B6ByNegPMKs_b8e1ecf1bd044e7292581a66683e7993.png</x:v>
      </x:c>
      <x:c r="W109" s="8" t="str">
        <x:v>B6ByNegPMKs_b8e1ecf1bd044e7292581a66683e7993</x:v>
      </x:c>
    </x:row>
    <x:row r="110" ht="44" customHeight="1">
      <x:c r="A110" s="8" t="str">
        <x:v>G036</x:v>
      </x:c>
      <x:c r="B110" s="8" t="str">
        <x:v>B6ByNegPMKs</x:v>
      </x:c>
      <x:c r="C110" s="8" t="n">
        <x:v>37</x:v>
      </x:c>
      <x:c r="D110" s="12" t="str">
        <x:v>待审</x:v>
      </x:c>
      <x:c r="E110" s="12" t="str">
        <x:v>未定</x:v>
      </x:c>
      <x:c r="F110" s="12" t="n">
        <x:v>15</x:v>
      </x:c>
      <x:c r="G110" s="12" t="str">
        <x:v>全部历史</x:v>
      </x:c>
      <x:c r="H110" s="8" t="n">
        <x:v>6</x:v>
      </x:c>
      <x:c r="I110" s="8" t="n">
        <x:v>5</x:v>
      </x:c>
      <x:c r="J110" s="8" t="n">
        <x:v>11</x:v>
      </x:c>
      <x:c r="K110" s="8" t="n">
        <x:v>4</x:v>
      </x:c>
      <x:c r="L110" s="8" t="n">
        <x:f>MAX(0,F110-IF(G110="当前19人",I110,H110))</x:f>
        <x:v>9</x:v>
      </x:c>
      <x:c r="M110" s="8" t="n">
        <x:f>IF(OR(D110="候选纳入",D110="特殊对照"),L110,0)</x:f>
        <x:v>0</x:v>
      </x:c>
      <x:c r="N110" s="8" t="str">
        <x:f>IF(L110&lt;=J110,"可达","人数不足")</x:f>
        <x:v>可达</x:v>
      </x:c>
      <x:c r="O110" s="8" t="str">
        <x:f>IF(AND(F110&lt;15,E110&lt;&gt;"审查确认简单"),"需确认简单","")</x:f>
      </x:c>
      <x:c r="P110" s="8" t="str">
        <x:v>通行与连接</x:v>
      </x:c>
      <x:c r="Q110" s="8" t="str">
        <x:v>早期争议复核导出.user_type</x:v>
      </x:c>
      <x:c r="R110" s="8" t="str">
        <x:v>优先审查目标（未选定）</x:v>
      </x:c>
      <x:c r="S110" s="8" t="str">
        <x:v>33号25人，37号6人；有同房闭合差异，15人目标可利用旧记录低成本补齐。</x:v>
      </x:c>
      <x:c r="T110" s="8" t="str">
        <x:v>近处玻璃/门框及透过玻璃的其他空间可能影响范围识别；顶面梁管不能直接等同布局墙界。</x:v>
      </x:c>
      <x:c r="U110" s="8" t="str">
        <x:v>37有4份Semi；全部历史清洁Manual容量17，当前19人容量16，不能无新工人就保证19份独立Manual。</x:v>
      </x:c>
      <x:c r="V110" s="8" t="str">
        <x:v>https://raw.githubusercontent.com/Sparkling-Flames/3D_Manhattan_label/844a4694627e1eacc6bfb48911897335e48ecc17/data/mp3d_layout/test/img/B6ByNegPMKs_c946db5792df4f90bea20f06a0030c37.png</x:v>
      </x:c>
      <x:c r="W110" s="8" t="str">
        <x:v>B6ByNegPMKs_c946db5792df4f90bea20f06a0030c37</x:v>
      </x:c>
    </x:row>
    <x:row r="111" ht="44" customHeight="1">
      <x:c r="A111" s="8" t="str">
        <x:v>G197</x:v>
      </x:c>
      <x:c r="B111" s="8" t="str">
        <x:v>uNb9QFRL6hY</x:v>
      </x:c>
      <x:c r="C111" s="8" t="n">
        <x:v>47</x:v>
      </x:c>
      <x:c r="D111" s="12" t="str">
        <x:v>待审</x:v>
      </x:c>
      <x:c r="E111" s="12" t="str">
        <x:v>未定</x:v>
      </x:c>
      <x:c r="F111" s="12" t="n">
        <x:v>15</x:v>
      </x:c>
      <x:c r="G111" s="12" t="str">
        <x:v>全部历史</x:v>
      </x:c>
      <x:c r="H111" s="8" t="n">
        <x:v>26</x:v>
      </x:c>
      <x:c r="I111" s="8" t="n">
        <x:v>19</x:v>
      </x:c>
      <x:c r="J111" s="8" t="n">
        <x:v>0</x:v>
      </x:c>
      <x:c r="K111" s="8" t="n">
        <x:v>0</x:v>
      </x:c>
      <x:c r="L111" s="8" t="n">
        <x:f>MAX(0,F111-IF(G111="当前19人",I111,H111))</x:f>
        <x:v>0</x:v>
      </x:c>
      <x:c r="M111" s="8" t="n">
        <x:f>IF(OR(D111="候选纳入",D111="特殊对照"),L111,0)</x:f>
        <x:v>0</x:v>
      </x:c>
      <x:c r="N111" s="8" t="str">
        <x:f>IF(L111&lt;=J111,"可达","人数不足")</x:f>
        <x:v>可达</x:v>
      </x:c>
      <x:c r="O111" s="8" t="str">
        <x:f>IF(AND(F111&lt;15,E111&lt;&gt;"审查确认简单"),"需确认简单","")</x:f>
      </x:c>
      <x:c r="P111" s="8" t="str">
        <x:v>卫浴</x:v>
      </x:c>
      <x:c r="Q111" s="8" t="str">
        <x:v>后续41图亲审.current_classification.coarse_type</x:v>
      </x:c>
      <x:c r="R111" s="8" t="str">
        <x:v>已有来源，优先复用</x:v>
      </x:c>
      <x:c r="S111" s="8" t="str">
        <x:v>47号26人，75为新视点；用于检查历史不确定状态能否在新视点重现。</x:v>
      </x:c>
      <x:c r="T111" s="8" t="str">
        <x:v>窗外暗墙；台上花仅辅助，固定设施为主</x:v>
      </x:c>
      <x:c r="U111" s="8" t="str">
        <x:v>既有评论曾看过结果，不能称完全结果盲选；旧结论主要为计算/起点未知，不等于已证明持续不稳定。</x:v>
      </x:c>
      <x:c r="V111" s="8" t="str">
        <x:v>https://raw.githubusercontent.com/Sparkling-Flames/3D_Manhattan_label/844a4694627e1eacc6bfb48911897335e48ecc17/data/mp3d_layout/test/img/uNb9QFRL6hY_978d7a8eb0794936bd8fd092306e1dc5.png</x:v>
      </x:c>
      <x:c r="W111" s="8" t="str">
        <x:v>uNb9QFRL6hY_978d7a8eb0794936bd8fd092306e1dc5</x:v>
      </x:c>
    </x:row>
    <x:row r="112" ht="44" customHeight="1">
      <x:c r="A112" s="8" t="str">
        <x:v>G197</x:v>
      </x:c>
      <x:c r="B112" s="8" t="str">
        <x:v>uNb9QFRL6hY</x:v>
      </x:c>
      <x:c r="C112" s="8" t="n">
        <x:v>75</x:v>
      </x:c>
      <x:c r="D112" s="12" t="str">
        <x:v>待审</x:v>
      </x:c>
      <x:c r="E112" s="12" t="str">
        <x:v>未定</x:v>
      </x:c>
      <x:c r="F112" s="12" t="n">
        <x:v>15</x:v>
      </x:c>
      <x:c r="G112" s="12" t="str">
        <x:v>全部历史</x:v>
      </x:c>
      <x:c r="H112" s="8" t="n">
        <x:v>0</x:v>
      </x:c>
      <x:c r="I112" s="8" t="n">
        <x:v>0</x:v>
      </x:c>
      <x:c r="J112" s="8" t="n">
        <x:v>19</x:v>
      </x:c>
      <x:c r="K112" s="8" t="n">
        <x:v>0</x:v>
      </x:c>
      <x:c r="L112" s="8" t="n">
        <x:f>MAX(0,F112-IF(G112="当前19人",I112,H112))</x:f>
        <x:v>15</x:v>
      </x:c>
      <x:c r="M112" s="8" t="n">
        <x:f>IF(OR(D112="候选纳入",D112="特殊对照"),L112,0)</x:f>
        <x:v>0</x:v>
      </x:c>
      <x:c r="N112" s="8" t="str">
        <x:f>IF(L112&lt;=J112,"可达","人数不足")</x:f>
        <x:v>可达</x:v>
      </x:c>
      <x:c r="O112" s="8" t="str">
        <x:f>IF(AND(F112&lt;15,E112&lt;&gt;"审查确认简单"),"需确认简单","")</x:f>
      </x:c>
      <x:c r="P112" s="8" t="str">
        <x:v>卫浴</x:v>
      </x:c>
      <x:c r="Q112" s="8" t="str">
        <x:v>早期争议复核导出.user_type</x:v>
      </x:c>
      <x:c r="R112" s="8" t="str">
        <x:v>优先审查目标（未选定）</x:v>
      </x:c>
      <x:c r="S112" s="8" t="str">
        <x:v>47号26人，75为新视点；用于检查历史不确定状态能否在新视点重现。</x:v>
      </x:c>
      <x:c r="T112" s="8" t="str">
        <x:v>窗外暗墙与树反射，柜台石纹可对照</x:v>
      </x:c>
      <x:c r="U112" s="8" t="str">
        <x:v>既有评论曾看过结果，不能称完全结果盲选；旧结论主要为计算/起点未知，不等于已证明持续不稳定。</x:v>
      </x:c>
      <x:c r="V112" s="8" t="str">
        <x:v>https://raw.githubusercontent.com/Sparkling-Flames/3D_Manhattan_label/844a4694627e1eacc6bfb48911897335e48ecc17/data/mp3d_layout/test/img/uNb9QFRL6hY_dcb326d4bb9b4a5f8d7e565ec32bce8e.png</x:v>
      </x:c>
      <x:c r="W112" s="8" t="str">
        <x:v>uNb9QFRL6hY_dcb326d4bb9b4a5f8d7e565ec32bce8e</x:v>
      </x:c>
    </x:row>
    <x:row r="113" ht="44" customHeight="1">
      <x:c r="A113" s="8" t="str">
        <x:v>G014</x:v>
      </x:c>
      <x:c r="B113" s="8" t="str">
        <x:v>7y3sRwLe3Va</x:v>
      </x:c>
      <x:c r="C113" s="8" t="n">
        <x:v>8</x:v>
      </x:c>
      <x:c r="D113" s="12" t="str">
        <x:v>待审</x:v>
      </x:c>
      <x:c r="E113" s="12" t="str">
        <x:v>未定</x:v>
      </x:c>
      <x:c r="F113" s="12" t="n">
        <x:v>15</x:v>
      </x:c>
      <x:c r="G113" s="12" t="str">
        <x:v>全部历史</x:v>
      </x:c>
      <x:c r="H113" s="8" t="n">
        <x:v>25</x:v>
      </x:c>
      <x:c r="I113" s="8" t="n">
        <x:v>19</x:v>
      </x:c>
      <x:c r="J113" s="8" t="n">
        <x:v>0</x:v>
      </x:c>
      <x:c r="K113" s="8" t="n">
        <x:v>0</x:v>
      </x:c>
      <x:c r="L113" s="8" t="n">
        <x:f>MAX(0,F113-IF(G113="当前19人",I113,H113))</x:f>
        <x:v>0</x:v>
      </x:c>
      <x:c r="M113" s="8" t="n">
        <x:f>IF(OR(D113="候选纳入",D113="特殊对照"),L113,0)</x:f>
        <x:v>0</x:v>
      </x:c>
      <x:c r="N113" s="8" t="str">
        <x:f>IF(L113&lt;=J113,"可达","人数不足")</x:f>
        <x:v>可达</x:v>
      </x:c>
      <x:c r="O113" s="8" t="str">
        <x:f>IF(AND(F113&lt;15,E113&lt;&gt;"审查确认简单"),"需确认简单","")</x:f>
      </x:c>
      <x:c r="P113" s="8" t="str">
        <x:v>通行与连接</x:v>
      </x:c>
      <x:c r="Q113" s="8" t="str">
        <x:v>早期争议复核导出.user_type</x:v>
      </x:c>
      <x:c r="R113" s="8" t="str">
        <x:v>已有来源，优先复用</x:v>
      </x:c>
      <x:c r="S113" s="8" t="str">
        <x:v>08/12各已有25人，应先复用；17/22各5人，需要新的视点Scope证据才考虑补齐。</x:v>
      </x:c>
      <x:c r="T113" s="8" t="str">
        <x:v>楼梯洞和下层不可当作同一地面</x:v>
      </x:c>
      <x:c r="U113" s="8" t="str">
        <x:v>用户明确全组OOS。仅作为Scope/受限表示挑战，不混入普通唯一参考质量指标；不要为Scope投票强制重画已有图。</x:v>
      </x:c>
      <x:c r="V113" s="8" t="str">
        <x:v>https://raw.githubusercontent.com/Sparkling-Flames/3D_Manhattan_label/844a4694627e1eacc6bfb48911897335e48ecc17/data/mp3d_layout/test/img/7y3sRwLe3Va_4291cbfde1024467b1548934653f07ce.png</x:v>
      </x:c>
      <x:c r="W113" s="8" t="str">
        <x:v>7y3sRwLe3Va_4291cbfde1024467b1548934653f07ce</x:v>
      </x:c>
    </x:row>
    <x:row r="114" ht="44" customHeight="1">
      <x:c r="A114" s="8" t="str">
        <x:v>G014</x:v>
      </x:c>
      <x:c r="B114" s="8" t="str">
        <x:v>7y3sRwLe3Va</x:v>
      </x:c>
      <x:c r="C114" s="8" t="n">
        <x:v>17</x:v>
      </x:c>
      <x:c r="D114" s="12" t="str">
        <x:v>待审</x:v>
      </x:c>
      <x:c r="E114" s="12" t="str">
        <x:v>未定</x:v>
      </x:c>
      <x:c r="F114" s="12" t="n">
        <x:v>15</x:v>
      </x:c>
      <x:c r="G114" s="12" t="str">
        <x:v>全部历史</x:v>
      </x:c>
      <x:c r="H114" s="8" t="n">
        <x:v>5</x:v>
      </x:c>
      <x:c r="I114" s="8" t="n">
        <x:v>4</x:v>
      </x:c>
      <x:c r="J114" s="8" t="n">
        <x:v>15</x:v>
      </x:c>
      <x:c r="K114" s="8" t="n">
        <x:v>0</x:v>
      </x:c>
      <x:c r="L114" s="8" t="n">
        <x:f>MAX(0,F114-IF(G114="当前19人",I114,H114))</x:f>
        <x:v>10</x:v>
      </x:c>
      <x:c r="M114" s="8" t="n">
        <x:f>IF(OR(D114="候选纳入",D114="特殊对照"),L114,0)</x:f>
        <x:v>0</x:v>
      </x:c>
      <x:c r="N114" s="8" t="str">
        <x:f>IF(L114&lt;=J114,"可达","人数不足")</x:f>
        <x:v>可达</x:v>
      </x:c>
      <x:c r="O114" s="8" t="str">
        <x:f>IF(AND(F114&lt;15,E114&lt;&gt;"审查确认简单"),"需确认简单","")</x:f>
      </x:c>
      <x:c r="P114" s="8" t="str">
        <x:v>通行与连接</x:v>
      </x:c>
      <x:c r="Q114" s="8" t="str">
        <x:v>早期争议复核导出.user_type</x:v>
      </x:c>
      <x:c r="R114" s="8" t="str">
        <x:v>优先审查目标（未选定）</x:v>
      </x:c>
      <x:c r="S114" s="8" t="str">
        <x:v>08/12各已有25人，应先复用；17/22各5人，需要新的视点Scope证据才考虑补齐。</x:v>
      </x:c>
      <x:c r="T114" s="8" t="str">
        <x:v>楼梯洞、下层、两边走道需要范围解释</x:v>
      </x:c>
      <x:c r="U114" s="8" t="str">
        <x:v>用户明确全组OOS。仅作为Scope/受限表示挑战，不混入普通唯一参考质量指标；不要为Scope投票强制重画已有图。</x:v>
      </x:c>
      <x:c r="V114" s="8" t="str">
        <x:v>https://raw.githubusercontent.com/Sparkling-Flames/3D_Manhattan_label/844a4694627e1eacc6bfb48911897335e48ecc17/data/mp3d_layout/test/img/7y3sRwLe3Va_9e4c92fd7eb74504baecf55a3264716e.png</x:v>
      </x:c>
      <x:c r="W114" s="8" t="str">
        <x:v>7y3sRwLe3Va_9e4c92fd7eb74504baecf55a3264716e</x:v>
      </x:c>
    </x:row>
    <x:row r="115" ht="44" customHeight="1">
      <x:c r="A115" s="8" t="str">
        <x:v>G014</x:v>
      </x:c>
      <x:c r="B115" s="8" t="str">
        <x:v>7y3sRwLe3Va</x:v>
      </x:c>
      <x:c r="C115" s="8" t="n">
        <x:v>12</x:v>
      </x:c>
      <x:c r="D115" s="12" t="str">
        <x:v>待审</x:v>
      </x:c>
      <x:c r="E115" s="12" t="str">
        <x:v>未定</x:v>
      </x:c>
      <x:c r="F115" s="12" t="n">
        <x:v>15</x:v>
      </x:c>
      <x:c r="G115" s="12" t="str">
        <x:v>全部历史</x:v>
      </x:c>
      <x:c r="H115" s="8" t="n">
        <x:v>25</x:v>
      </x:c>
      <x:c r="I115" s="8" t="n">
        <x:v>19</x:v>
      </x:c>
      <x:c r="J115" s="8" t="n">
        <x:v>0</x:v>
      </x:c>
      <x:c r="K115" s="8" t="n">
        <x:v>0</x:v>
      </x:c>
      <x:c r="L115" s="8" t="n">
        <x:f>MAX(0,F115-IF(G115="当前19人",I115,H115))</x:f>
        <x:v>0</x:v>
      </x:c>
      <x:c r="M115" s="8" t="n">
        <x:f>IF(OR(D115="候选纳入",D115="特殊对照"),L115,0)</x:f>
        <x:v>0</x:v>
      </x:c>
      <x:c r="N115" s="8" t="str">
        <x:f>IF(L115&lt;=J115,"可达","人数不足")</x:f>
        <x:v>可达</x:v>
      </x:c>
      <x:c r="O115" s="8" t="str">
        <x:f>IF(AND(F115&lt;15,E115&lt;&gt;"审查确认简单"),"需确认简单","")</x:f>
      </x:c>
      <x:c r="P115" s="8" t="str">
        <x:v>通行与连接</x:v>
      </x:c>
      <x:c r="Q115" s="8" t="str">
        <x:v>早期争议复核导出.user_type</x:v>
      </x:c>
      <x:c r="R115" s="8" t="str">
        <x:v>已有来源，优先复用</x:v>
      </x:c>
      <x:c r="S115" s="8" t="str">
        <x:v>08/12各已有25人，应先复用；17/22各5人，需要新的视点Scope证据才考虑补齐。</x:v>
      </x:c>
      <x:c r="T115" s="8" t="str">
        <x:v>靠侧房门，侧走廊比例更大</x:v>
      </x:c>
      <x:c r="U115" s="8" t="str">
        <x:v>用户明确全组OOS。仅作为Scope/受限表示挑战，不混入普通唯一参考质量指标；不要为Scope投票强制重画已有图。</x:v>
      </x:c>
      <x:c r="V115" s="8" t="str">
        <x:v>https://raw.githubusercontent.com/Sparkling-Flames/3D_Manhattan_label/844a4694627e1eacc6bfb48911897335e48ecc17/data/mp3d_layout/test/img/7y3sRwLe3Va_6376b741b50a4418b3dc3fde791c3c09.png</x:v>
      </x:c>
      <x:c r="W115" s="8" t="str">
        <x:v>7y3sRwLe3Va_6376b741b50a4418b3dc3fde791c3c09</x:v>
      </x:c>
    </x:row>
    <x:row r="116" ht="44" customHeight="1">
      <x:c r="A116" s="8" t="str">
        <x:v>G014</x:v>
      </x:c>
      <x:c r="B116" s="8" t="str">
        <x:v>7y3sRwLe3Va</x:v>
      </x:c>
      <x:c r="C116" s="8" t="n">
        <x:v>22</x:v>
      </x:c>
      <x:c r="D116" s="12" t="str">
        <x:v>待审</x:v>
      </x:c>
      <x:c r="E116" s="12" t="str">
        <x:v>未定</x:v>
      </x:c>
      <x:c r="F116" s="12" t="n">
        <x:v>15</x:v>
      </x:c>
      <x:c r="G116" s="12" t="str">
        <x:v>全部历史</x:v>
      </x:c>
      <x:c r="H116" s="8" t="n">
        <x:v>5</x:v>
      </x:c>
      <x:c r="I116" s="8" t="n">
        <x:v>4</x:v>
      </x:c>
      <x:c r="J116" s="8" t="n">
        <x:v>15</x:v>
      </x:c>
      <x:c r="K116" s="8" t="n">
        <x:v>0</x:v>
      </x:c>
      <x:c r="L116" s="8" t="n">
        <x:f>MAX(0,F116-IF(G116="当前19人",I116,H116))</x:f>
        <x:v>10</x:v>
      </x:c>
      <x:c r="M116" s="8" t="n">
        <x:f>IF(OR(D116="候选纳入",D116="特殊对照"),L116,0)</x:f>
        <x:v>0</x:v>
      </x:c>
      <x:c r="N116" s="8" t="str">
        <x:f>IF(L116&lt;=J116,"可达","人数不足")</x:f>
        <x:v>可达</x:v>
      </x:c>
      <x:c r="O116" s="8" t="str">
        <x:f>IF(AND(F116&lt;15,E116&lt;&gt;"审查确认简单"),"需确认简单","")</x:f>
      </x:c>
      <x:c r="P116" s="8" t="str">
        <x:v>通行与连接</x:v>
      </x:c>
      <x:c r="Q116" s="8" t="str">
        <x:v>早期争议复核导出.user_type</x:v>
      </x:c>
      <x:c r="R116" s="8" t="str">
        <x:v>优先审查目标（未选定）</x:v>
      </x:c>
      <x:c r="S116" s="8" t="str">
        <x:v>08/12各已有25人，应先复用；17/22各5人，需要新的视点Scope证据才考虑补齐。</x:v>
      </x:c>
      <x:c r="T116" s="8" t="str">
        <x:v>栏杆、吊灯与高窗对应，楼梯洞解释相似</x:v>
      </x:c>
      <x:c r="U116" s="8" t="str">
        <x:v>用户明确全组OOS。仅作为Scope/受限表示挑战，不混入普通唯一参考质量指标；不要为Scope投票强制重画已有图。</x:v>
      </x:c>
      <x:c r="V116" s="8" t="str">
        <x:v>https://raw.githubusercontent.com/Sparkling-Flames/3D_Manhattan_label/844a4694627e1eacc6bfb48911897335e48ecc17/data/mp3d_layout/test/img/7y3sRwLe3Va_b564162b2c7d4033bfe6ef3dfb959c9e.png</x:v>
      </x:c>
      <x:c r="W116" s="8" t="str">
        <x:v>7y3sRwLe3Va_b564162b2c7d4033bfe6ef3dfb959c9e</x:v>
      </x:c>
    </x:row>
  </x:sheetData>
  <x:mergeCells>
    <x:mergeCell ref="A1:W1"/>
    <x:mergeCell ref="A2:W2"/>
  </x:mergeCells>
  <x:conditionalFormatting sqref="N5:N116">
    <x:cfRule type="expression" dxfId="0" priority="1">
      <x:formula>N5="人数不足"</x:formula>
    </x:cfRule>
  </x:conditionalFormatting>
  <x:conditionalFormatting sqref="O5:O116">
    <x:cfRule type="expression" dxfId="1" priority="2">
      <x:formula>O5="需确认简单"</x:formula>
    </x:cfRule>
  </x:conditionalFormatting>
  <x:dataValidations count="4">
    <x:dataValidation type="list" sqref="D5:D116">
      <x:formula1>"待审,候选纳入,仅复用来源,特殊对照,暂缓,排除本轮"</x:formula1>
    </x:dataValidation>
    <x:dataValidation type="list" sqref="E5:E116">
      <x:formula1>"未定,审查确认简单,非简单"</x:formula1>
    </x:dataValidation>
    <x:dataValidation type="list" sqref="F5:F116">
      <x:formula1>"6,8,15,16,17,18,19"</x:formula1>
    </x:dataValidation>
    <x:dataValidation type="list" sqref="G5:G116">
      <x:formula1>"全部历史,当前19人"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28d1928bbe441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25" hidden="0" customWidth="1"/>
    <x:col min="4" max="4" width="8" hidden="0" customWidth="1"/>
    <x:col min="5" max="5" width="30" hidden="0" customWidth="1"/>
    <x:col min="6" max="6" width="22" hidden="0" customWidth="1"/>
    <x:col min="7" max="7" width="32" hidden="0" customWidth="1"/>
    <x:col min="8" max="8" width="27" hidden="0" customWidth="1"/>
    <x:col min="9" max="9" width="24" hidden="0" customWidth="1"/>
    <x:col min="10" max="10" width="40" hidden="0" customWidth="1"/>
    <x:col min="11" max="11" width="40" hidden="0" customWidth="1"/>
    <x:col min="12" max="12" width="40" hidden="0" customWidth="1"/>
    <x:col min="13" max="13" width="14" hidden="0" customWidth="1"/>
    <x:col min="14" max="14" width="32" hidden="0" customWidth="1"/>
  </x:cols>
  <x:sheetData>
    <x:row r="1" ht="28" customHeight="1">
      <x:c r="A1" s="10" t="str">
        <x:v>22组候选理由｜不按图数自动定优先，不将待定升级为确认</x:v>
      </x:c>
    </x:row>
    <x:row r="4" ht="34" customHeight="1">
      <x:c r="A4" s="4" t="str">
        <x:v>组号</x:v>
      </x:c>
      <x:c r="B4" s="4" t="str">
        <x:v>Building</x:v>
      </x:c>
      <x:c r="C4" s="4" t="str">
        <x:v>候选作用</x:v>
      </x:c>
      <x:c r="D4" s="4" t="str">
        <x:v>图数</x:v>
      </x:c>
      <x:c r="E4" s="4" t="str">
        <x:v>全部图号</x:v>
      </x:c>
      <x:c r="F4" s="4" t="str">
        <x:v>已高标/可复用来源</x:v>
      </x:c>
      <x:c r="G4" s="4" t="str">
        <x:v>优先审查目标</x:v>
      </x:c>
      <x:c r="H4" s="4" t="str">
        <x:v>替代或特殊视点</x:v>
      </x:c>
      <x:c r="I4" s="4" t="str">
        <x:v>原审核状态</x:v>
      </x:c>
      <x:c r="J4" s="4" t="str">
        <x:v>为什么审</x:v>
      </x:c>
      <x:c r="K4" s="4" t="str">
        <x:v>待审问题</x:v>
      </x:c>
      <x:c r="L4" s="4" t="str">
        <x:v>原用户评论</x:v>
      </x:c>
      <x:c r="M4" s="4" t="str">
        <x:v>当前19人同房Semi接触</x:v>
      </x:c>
      <x:c r="N4" s="4" t="str">
        <x:v>当前粗类汇总</x:v>
      </x:c>
    </x:row>
    <x:row r="5" ht="44" customHeight="1">
      <x:c r="A5" s="8" t="str">
        <x:v>G179</x:v>
      </x:c>
      <x:c r="B5" s="8" t="str">
        <x:v>uNb9QFRL6hY</x:v>
      </x:c>
      <x:c r="C5" s="8" t="str">
        <x:v>先审高历史价值组</x:v>
      </x:c>
      <x:c r="D5" s="8" t="n">
        <x:v>9</x:v>
      </x:c>
      <x:c r="E5" s="8" t="str">
        <x:v>08、10、19、29、55、65、68、81、86</x:v>
      </x:c>
      <x:c r="F5" s="8" t="str">
        <x:v>08、65</x:v>
      </x:c>
      <x:c r="G5" s="8" t="str">
        <x:v>10、19、55、81、86</x:v>
      </x:c>
      <x:c r="H5" s="8" t="str">
        <x:v>29、68</x:v>
      </x:c>
      <x:c r="I5" s="8" t="str">
        <x:v>explicit_discussion</x:v>
      </x:c>
      <x:c r="J5" s="8" t="str">
        <x:v>8、65号已有两个密集来源，可比较一源/双源，不需先重采来源。</x:v>
      </x:c>
      <x:c r="K5" s="8" t="str">
        <x:v>确认门口范围如何处理；原extent_alignment仍待定，29已被评论列为低优先。不能擅自合并相似的G174房间。</x:v>
      </x:c>
      <x:c r="L5" s="8" t="str">
        <x:v>uNb9QFRL6hY · 02 / 28 / 44 / 80  和这个是极其类似的房间,甚至可以放在一起预测.可能就是门口那里标不标有点歧义,29优先级低</x:v>
      </x:c>
      <x:c r="M5" s="8" t="n">
        <x:v>3</x:v>
      </x:c>
      <x:c r="N5" s="8" t="str">
        <x:v>{"卧室": 9}</x:v>
      </x:c>
    </x:row>
    <x:row r="6" ht="44" customHeight="1">
      <x:c r="A6" s="8" t="str">
        <x:v>G184</x:v>
      </x:c>
      <x:c r="B6" s="8" t="str">
        <x:v>uNb9QFRL6hY</x:v>
      </x:c>
      <x:c r="C6" s="8" t="str">
        <x:v>先审高历史价值组</x:v>
      </x:c>
      <x:c r="D6" s="8" t="n">
        <x:v>9</x:v>
      </x:c>
      <x:c r="E6" s="8" t="str">
        <x:v>18、26、41、50、59、60、66、67、88</x:v>
      </x:c>
      <x:c r="F6" s="8" t="str">
        <x:v>50、60</x:v>
      </x:c>
      <x:c r="G6" s="8" t="str">
        <x:v>26、66、88、18、41、59</x:v>
      </x:c>
      <x:c r="H6" s="8" t="str">
        <x:v>67</x:v>
      </x:c>
      <x:c r="I6" s="8" t="str">
        <x:v>explicit_discussion</x:v>
      </x:c>
      <x:c r="J6" s="8" t="str">
        <x:v>50、60号均有23人；26、66、88各有5人，具备双源和低成本补齐条件。</x:v>
      </x:c>
      <x:c r="K6" s="8" t="str">
        <x:v>67主空间与其余不同；排除67后的8图组仍待确认。原main_visual_alignment待定；高难度不自动等于OOS。</x:v>
      </x:c>
      <x:c r="L6" s="8" t="str">
        <x:v>这标注难度很高,我记得有标过. 67的标注空间和剩余的不一致,它是站在浴室里了,但是我记得也有人标了外面的空间</x:v>
      </x:c>
      <x:c r="M6" s="8" t="n">
        <x:v>0</x:v>
      </x:c>
      <x:c r="N6" s="8" t="str">
        <x:v>{"卫浴": 9}</x:v>
      </x:c>
    </x:row>
    <x:row r="7" ht="44" customHeight="1">
      <x:c r="A7" s="8" t="str">
        <x:v>G172</x:v>
      </x:c>
      <x:c r="B7" s="8" t="str">
        <x:v>uNb9QFRL6hY</x:v>
      </x:c>
      <x:c r="C7" s="8" t="str">
        <x:v>先审高历史价值组</x:v>
      </x:c>
      <x:c r="D7" s="8" t="n">
        <x:v>12</x:v>
      </x:c>
      <x:c r="E7" s="8" t="str">
        <x:v>01、03、04、09、12、20、40、43、45、53、58、71</x:v>
      </x:c>
      <x:c r="F7" s="8" t="str">
        <x:v>45</x:v>
      </x:c>
      <x:c r="G7" s="8" t="str">
        <x:v>03、09、12、20、43、53、58</x:v>
      </x:c>
      <x:c r="H7" s="8" t="str">
        <x:v>01、04、40、71</x:v>
      </x:c>
      <x:c r="I7" s="8" t="str">
        <x:v>viewed_per_user_statement</x:v>
      </x:c>
      <x:c r="J7" s="8" t="str">
        <x:v>45号已有23人；可从中心、钢琴、壁炉、镜墙等不同信息条件选新视点，避免只增加卧室。</x:v>
      </x:c>
      <x:c r="K7" s="8" t="str">
        <x:v>71门洞交界应单列；内部子集仍未正式确认。40存在Manual/Semi历史，需要人员级暴露核对。</x:v>
      </x:c>
      <x:c r="L7" s="8" t="str">
        <x:v>71是站在门洞交界处了</x:v>
      </x:c>
      <x:c r="M7" s="8" t="n">
        <x:v>3</x:v>
      </x:c>
      <x:c r="N7" s="8" t="str">
        <x:v>{"起居与休闲": 12}</x:v>
      </x:c>
    </x:row>
    <x:row r="8" ht="44" customHeight="1">
      <x:c r="A8" s="8" t="str">
        <x:v>G047</x:v>
      </x:c>
      <x:c r="B8" s="8" t="str">
        <x:v>S9hNv5qa7GM</x:v>
      </x:c>
      <x:c r="C8" s="8" t="str">
        <x:v>已有密集来源的多视点</x:v>
      </x:c>
      <x:c r="D8" s="8" t="n">
        <x:v>5</x:v>
      </x:c>
      <x:c r="E8" s="8" t="str">
        <x:v>06、10、15、17、19</x:v>
      </x:c>
      <x:c r="F8" s="8" t="str">
        <x:v>15</x:v>
      </x:c>
      <x:c r="G8" s="8" t="str">
        <x:v>06、10、17、19</x:v>
      </x:c>
      <x:c r="H8" s="8" t="str"/>
      <x:c r="I8" s="8" t="str">
        <x:v>explicit_confirmed</x:v>
      </x:c>
      <x:c r="J8" s="8" t="str">
        <x:v>15号已有20人，4个目标无同图历史；可比较床侧、墙侧、入口侧的变化。</x:v>
      </x:c>
      <x:c r="K8" s="8" t="str">
        <x:v>主卧有床、镜面及入口；组内预期相近不等于每张简单。</x:v>
      </x:c>
      <x:c r="L8" s="8" t="str">
        <x:v>5张图一间房</x:v>
      </x:c>
      <x:c r="M8" s="8" t="n">
        <x:v>0</x:v>
      </x:c>
      <x:c r="N8" s="8" t="str">
        <x:v>{"卧室": 5}</x:v>
      </x:c>
    </x:row>
    <x:row r="9" ht="44" customHeight="1">
      <x:c r="A9" s="8" t="str">
        <x:v>G057</x:v>
      </x:c>
      <x:c r="B9" s="8" t="str">
        <x:v>VFuaQ6m2Qom</x:v>
      </x:c>
      <x:c r="C9" s="8" t="str">
        <x:v>已有密集来源的多视点</x:v>
      </x:c>
      <x:c r="D9" s="8" t="n">
        <x:v>6</x:v>
      </x:c>
      <x:c r="E9" s="8" t="str">
        <x:v>01、02、04、07、10、11</x:v>
      </x:c>
      <x:c r="F9" s="8" t="str">
        <x:v>07</x:v>
      </x:c>
      <x:c r="G9" s="8" t="str">
        <x:v>04、10、01、02、11</x:v>
      </x:c>
      <x:c r="H9" s="8" t="str"/>
      <x:c r="I9" s="8" t="str">
        <x:v>explicit_confirmed</x:v>
      </x:c>
      <x:c r="J9" s="8" t="str">
        <x:v>07号19人；04号7人、10号5人，先补可节约成本；其余视点用于观察凹入细节/开口可见度变化。</x:v>
      </x:c>
      <x:c r="K9" s="8" t="str">
        <x:v>07号当前19人中只有18份可用，另1人已有同图记录不能补作独立第19票；范围与细节合理性需区分。</x:v>
      </x:c>
      <x:c r="L9" s="8" t="str">
        <x:v>这个房间,有可能有些认真的标注的细,把凹进去的地方标了,有些可能忽略了.  我记得之前有张图的标注就是这样子的</x:v>
      </x:c>
      <x:c r="M9" s="8" t="n">
        <x:v>0</x:v>
      </x:c>
      <x:c r="N9" s="8" t="str">
        <x:v>{"卫浴": 6}</x:v>
      </x:c>
    </x:row>
    <x:row r="10" ht="44" customHeight="1">
      <x:c r="A10" s="8" t="str">
        <x:v>G237</x:v>
      </x:c>
      <x:c r="B10" s="8" t="str">
        <x:v>yqstnuAEVhm</x:v>
      </x:c>
      <x:c r="C10" s="8" t="str">
        <x:v>已有密集来源的多视点</x:v>
      </x:c>
      <x:c r="D10" s="8" t="n">
        <x:v>4</x:v>
      </x:c>
      <x:c r="E10" s="8" t="str">
        <x:v>02、05、10、26</x:v>
      </x:c>
      <x:c r="F10" s="8" t="str">
        <x:v>26</x:v>
      </x:c>
      <x:c r="G10" s="8" t="str">
        <x:v>05、10</x:v>
      </x:c>
      <x:c r="H10" s="8" t="str">
        <x:v>02</x:v>
      </x:c>
      <x:c r="I10" s="8" t="str">
        <x:v>explicit_confirmed</x:v>
      </x:c>
      <x:c r="J10" s="8" t="str">
        <x:v>26号已有25人；05/10室内视点与02靠厨房门视点构成可审查的对照。</x:v>
      </x:c>
      <x:c r="K10" s="8" t="str">
        <x:v>02的厨房门信息更多，不应与内部视点不加区分地合并。</x:v>
      </x:c>
      <x:c r="L10" s="8" t="str"/>
      <x:c r="M10" s="8" t="n">
        <x:v>0</x:v>
      </x:c>
      <x:c r="N10" s="8" t="str">
        <x:v>{"厨房与用餐": 4}</x:v>
      </x:c>
    </x:row>
    <x:row r="11" ht="44" customHeight="1">
      <x:c r="A11" s="8" t="str">
        <x:v>G165</x:v>
      </x:c>
      <x:c r="B11" s="8" t="str">
        <x:v>rPc6DW4iMge</x:v>
      </x:c>
      <x:c r="C11" s="8" t="str">
        <x:v>已有密集来源的多视点</x:v>
      </x:c>
      <x:c r="D11" s="8" t="n">
        <x:v>3</x:v>
      </x:c>
      <x:c r="E11" s="8" t="str">
        <x:v>02、14、15</x:v>
      </x:c>
      <x:c r="F11" s="8" t="str">
        <x:v>15</x:v>
      </x:c>
      <x:c r="G11" s="8" t="str">
        <x:v>02、14</x:v>
      </x:c>
      <x:c r="H11" s="8" t="str"/>
      <x:c r="I11" s="8" t="str">
        <x:v>explicit_confirmed</x:v>
      </x:c>
      <x:c r="J11" s="8" t="str">
        <x:v>15号已有23人；02/14两个新目标可补另一个building的卧室证据。</x:v>
      </x:c>
      <x:c r="K11" s="8" t="str">
        <x:v>仅3图，无法像5图组保留同样多的独立评价目标；是否值得投入由覆盖预算决定。</x:v>
      </x:c>
      <x:c r="L11" s="8" t="str"/>
      <x:c r="M11" s="8" t="n">
        <x:v>0</x:v>
      </x:c>
      <x:c r="N11" s="8" t="str">
        <x:v>{"卧室": 3}</x:v>
      </x:c>
    </x:row>
    <x:row r="12" ht="44" customHeight="1">
      <x:c r="A12" s="8" t="str">
        <x:v>G207</x:v>
      </x:c>
      <x:c r="B12" s="8" t="str">
        <x:v>wc2JMjhGNzB</x:v>
      </x:c>
      <x:c r="C12" s="8" t="str">
        <x:v>已有密集来源的多视点</x:v>
      </x:c>
      <x:c r="D12" s="8" t="n">
        <x:v>4</x:v>
      </x:c>
      <x:c r="E12" s="8" t="str">
        <x:v>04、15、40、45</x:v>
      </x:c>
      <x:c r="F12" s="8" t="str">
        <x:v>15</x:v>
      </x:c>
      <x:c r="G12" s="8" t="str">
        <x:v>04、45</x:v>
      </x:c>
      <x:c r="H12" s="8" t="str">
        <x:v>40</x:v>
      </x:c>
      <x:c r="I12" s="8" t="str">
        <x:v>explicit_confirmed</x:v>
      </x:c>
      <x:c r="J12" s="8" t="str">
        <x:v>15号已有24人；04/45可比较空房与近衣柜/卫浴门的信息变化。</x:v>
      </x:c>
      <x:c r="K12" s="8" t="str">
        <x:v>19人全部接触过同房40号Semi；04/15/40粗类在v2为null，45为无法判断，文字称卧室不能代替采用分类。</x:v>
      </x:c>
      <x:c r="L12" s="8" t="str"/>
      <x:c r="M12" s="8" t="n">
        <x:v>19</x:v>
      </x:c>
      <x:c r="N12" s="8" t="str">
        <x:v>{"待定": 3, "无法判断": 1}</x:v>
      </x:c>
    </x:row>
    <x:row r="13" ht="44" customHeight="1">
      <x:c r="A13" s="8" t="str">
        <x:v>G141</x:v>
      </x:c>
      <x:c r="B13" s="8" t="str">
        <x:v>pa4otMbVnkk</x:v>
      </x:c>
      <x:c r="C13" s="8" t="str">
        <x:v>稀疏历史补齐与类型覆盖</x:v>
      </x:c>
      <x:c r="D13" s="8" t="n">
        <x:v>6</x:v>
      </x:c>
      <x:c r="E13" s="8" t="str">
        <x:v>17、23、25、29、37、41</x:v>
      </x:c>
      <x:c r="F13" s="8" t="str">
        <x:v>17</x:v>
      </x:c>
      <x:c r="G13" s="8" t="str">
        <x:v>23、25、29、37、41</x:v>
      </x:c>
      <x:c r="H13" s="8" t="str"/>
      <x:c r="I13" s="8" t="str">
        <x:v>explicit_confirmed</x:v>
      </x:c>
      <x:c r="J13" s="8" t="str">
        <x:v>17号已有3人；红墙客厅、突出墙体、窗侧与入口视点，可补起居类与另一building。</x:v>
      </x:c>
      <x:c r="K13" s="8" t="str">
        <x:v>没有密集来源，需要把来源本身的新增采集计入预算。</x:v>
      </x:c>
      <x:c r="L13" s="8" t="str">
        <x:v>突出的墙体可能有点难标</x:v>
      </x:c>
      <x:c r="M13" s="8" t="n">
        <x:v>0</x:v>
      </x:c>
      <x:c r="N13" s="8" t="str">
        <x:v>{"起居与休闲": 6}</x:v>
      </x:c>
    </x:row>
    <x:row r="14" ht="44" customHeight="1">
      <x:c r="A14" s="8" t="str">
        <x:v>G205</x:v>
      </x:c>
      <x:c r="B14" s="8" t="str">
        <x:v>wc2JMjhGNzB</x:v>
      </x:c>
      <x:c r="C14" s="8" t="str">
        <x:v>稀疏历史补齐与类型覆盖</x:v>
      </x:c>
      <x:c r="D14" s="8" t="n">
        <x:v>5</x:v>
      </x:c>
      <x:c r="E14" s="8" t="str">
        <x:v>03、22、29、54、61</x:v>
      </x:c>
      <x:c r="F14" s="8" t="str">
        <x:v>03</x:v>
      </x:c>
      <x:c r="G14" s="8" t="str">
        <x:v>22、29、61</x:v>
      </x:c>
      <x:c r="H14" s="8" t="str">
        <x:v>54</x:v>
      </x:c>
      <x:c r="I14" s="8" t="str">
        <x:v>explicit_confirmed</x:v>
      </x:c>
      <x:c r="J14" s="8" t="str">
        <x:v>03与54各有5人；03先补到15更节约，22/29/61提供床侧/书桌/短廊口变化。</x:v>
      </x:c>
      <x:c r="K14" s="8" t="str">
        <x:v>54另有Semi接触，当前19人清洁Manual容量为16，不承诺19。组内预期相近仍含短廊范围解释。</x:v>
      </x:c>
      <x:c r="L14" s="8" t="str"/>
      <x:c r="M14" s="8" t="n">
        <x:v>3</x:v>
      </x:c>
      <x:c r="N14" s="8" t="str">
        <x:v>{"卧室": 5}</x:v>
      </x:c>
    </x:row>
    <x:row r="15" ht="44" customHeight="1">
      <x:c r="A15" s="8" t="str">
        <x:v>G078</x:v>
      </x:c>
      <x:c r="B15" s="8" t="str">
        <x:v>Z6MFQCViBuw</x:v>
      </x:c>
      <x:c r="C15" s="8" t="str">
        <x:v>稀疏历史补齐与类型覆盖</x:v>
      </x:c>
      <x:c r="D15" s="8" t="n">
        <x:v>4</x:v>
      </x:c>
      <x:c r="E15" s="8" t="str">
        <x:v>02、05、08、09</x:v>
      </x:c>
      <x:c r="F15" s="8" t="str">
        <x:v>02</x:v>
      </x:c>
      <x:c r="G15" s="8" t="str">
        <x:v>05、08、09</x:v>
      </x:c>
      <x:c r="H15" s="8" t="str"/>
      <x:c r="I15" s="8" t="str">
        <x:v>explicit_confirmed</x:v>
      </x:c>
      <x:c r="J15" s="8" t="str">
        <x:v>02号已有5人；05/08/09可扩展另一building的餐室，避免餐厅证据只来自yq。</x:v>
      </x:c>
      <x:c r="K15" s="8" t="str">
        <x:v>02已有Semi接触，需区分全历史与当前19人的清洁容量；没有密集来源。</x:v>
      </x:c>
      <x:c r="L15" s="8" t="str"/>
      <x:c r="M15" s="8" t="n">
        <x:v>3</x:v>
      </x:c>
      <x:c r="N15" s="8" t="str">
        <x:v>{"厨房与用餐": 4}</x:v>
      </x:c>
    </x:row>
    <x:row r="16" ht="44" customHeight="1">
      <x:c r="A16" s="8" t="str">
        <x:v>G109</x:v>
      </x:c>
      <x:c r="B16" s="8" t="str">
        <x:v>jtcxE69GiFV</x:v>
      </x:c>
      <x:c r="C16" s="8" t="str">
        <x:v>稀疏历史补齐与类型覆盖</x:v>
      </x:c>
      <x:c r="D16" s="8" t="n">
        <x:v>5</x:v>
      </x:c>
      <x:c r="E16" s="8" t="str">
        <x:v>01、05、17、20、33</x:v>
      </x:c>
      <x:c r="F16" s="8" t="str">
        <x:v>05</x:v>
      </x:c>
      <x:c r="G16" s="8" t="str">
        <x:v>01、17、20、33</x:v>
      </x:c>
      <x:c r="H16" s="8" t="str"/>
      <x:c r="I16" s="8" t="str">
        <x:v>viewed_per_user_statement</x:v>
      </x:c>
      <x:c r="J16" s="8" t="str">
        <x:v>05号有6份可用Manual、17号1份；适于补齐较大卧室/沙发连通范围。</x:v>
      </x:c>
      <x:c r="K16" s="8" t="str">
        <x:v>用户评论记得05为Semi，当前记录却为6 Manual且0 Semi：保留矛盾，核对额外预览/初始呈现，不自行改写条件。</x:v>
      </x:c>
      <x:c r="L16" s="8" t="str">
        <x:v>这个稍微难标一点,我记得jtcxE69GiFV · 05是semi的,当时可能被semi误导了,导致有些分歧</x:v>
      </x:c>
      <x:c r="M16" s="8" t="n">
        <x:v>0</x:v>
      </x:c>
      <x:c r="N16" s="8" t="str">
        <x:v>{"卧室": 5}</x:v>
      </x:c>
    </x:row>
    <x:row r="17" ht="44" customHeight="1">
      <x:c r="A17" s="8" t="str">
        <x:v>G200</x:v>
      </x:c>
      <x:c r="B17" s="8" t="str">
        <x:v>uNb9QFRL6hY</x:v>
      </x:c>
      <x:c r="C17" s="8" t="str">
        <x:v>稀疏历史补齐与类型覆盖</x:v>
      </x:c>
      <x:c r="D17" s="8" t="n">
        <x:v>2</x:v>
      </x:c>
      <x:c r="E17" s="8" t="str">
        <x:v>70、74</x:v>
      </x:c>
      <x:c r="F17" s="8" t="str">
        <x:v>70</x:v>
      </x:c>
      <x:c r="G17" s="8" t="str">
        <x:v>74</x:v>
      </x:c>
      <x:c r="H17" s="8" t="str"/>
      <x:c r="I17" s="8" t="str">
        <x:v>explicit_confirmed</x:v>
      </x:c>
      <x:c r="J17" s="8" t="str">
        <x:v>70号已有25人，只新增74即可补储藏/衣帽室类型；源图不必重复。</x:v>
      </x:c>
      <x:c r="K17" s="8" t="str">
        <x:v>固定柜遮墙脚，不能仅因空间小就归简单。</x:v>
      </x:c>
      <x:c r="L17" s="8" t="str"/>
      <x:c r="M17" s="8" t="n">
        <x:v>0</x:v>
      </x:c>
      <x:c r="N17" s="8" t="str">
        <x:v>{"储藏与家务辅助": 2}</x:v>
      </x:c>
    </x:row>
    <x:row r="18" ht="44" customHeight="1">
      <x:c r="A18" s="8" t="str">
        <x:v>G015</x:v>
      </x:c>
      <x:c r="B18" s="8" t="str">
        <x:v>7y3sRwLe3Va</x:v>
      </x:c>
      <x:c r="C18" s="8" t="str">
        <x:v>稀疏历史补齐与类型覆盖</x:v>
      </x:c>
      <x:c r="D18" s="8" t="n">
        <x:v>4</x:v>
      </x:c>
      <x:c r="E18" s="8" t="str">
        <x:v>09、11、16、19</x:v>
      </x:c>
      <x:c r="F18" s="8" t="str">
        <x:v>19</x:v>
      </x:c>
      <x:c r="G18" s="8" t="str">
        <x:v>09、11、16</x:v>
      </x:c>
      <x:c r="H18" s="8" t="str"/>
      <x:c r="I18" s="8" t="str">
        <x:v>explicit_confirmed</x:v>
      </x:c>
      <x:c r="J18" s="8" t="str">
        <x:v>已确认4图开放复合空间，补充单一功能房间以外的条件；19号已有6份Manual。</x:v>
      </x:c>
      <x:c r="K18" s="8" t="str">
        <x:v>19号另有4份Semi，当前19人清洁容量16；开放复合粗类不自动等于表示OOS。</x:v>
      </x:c>
      <x:c r="L18" s="8" t="str"/>
      <x:c r="M18" s="8" t="n">
        <x:v>3</x:v>
      </x:c>
      <x:c r="N18" s="8" t="str">
        <x:v>{"开放复合空间": 4}</x:v>
      </x:c>
    </x:row>
    <x:row r="19" ht="44" customHeight="1">
      <x:c r="A19" s="8" t="str">
        <x:v>G002</x:v>
      </x:c>
      <x:c r="B19" s="8" t="str">
        <x:v>2t7WUuJeko7</x:v>
      </x:c>
      <x:c r="C19" s="8" t="str">
        <x:v>新建多视点来源</x:v>
      </x:c>
      <x:c r="D19" s="8" t="n">
        <x:v>5</x:v>
      </x:c>
      <x:c r="E19" s="8" t="str">
        <x:v>02、03、05、10、17</x:v>
      </x:c>
      <x:c r="F19" s="8" t="str"/>
      <x:c r="G19" s="8" t="str">
        <x:v>02、03、05、10、17</x:v>
      </x:c>
      <x:c r="H19" s="8" t="str"/>
      <x:c r="I19" s="8" t="str">
        <x:v>viewed_per_user_statement</x:v>
      </x:c>
      <x:c r="J19" s="8" t="str">
        <x:v>02/03/05与10/17存在用户明确指出的视点难度差异，适合比较同房不同信息条件。</x:v>
      </x:c>
      <x:c r="K19" s="8" t="str">
        <x:v>全组没有无辅助历史，来源图和目标图都要计算费用；原状态空白表示已看而非明确完成所有确认。</x:v>
      </x:c>
      <x:c r="L19" s="8" t="str">
        <x:v>02-03和02-05是同一房间吧
这个10,17 虽然房间一致,但是视角导致难标. 这张图是难得一个房间拍了5张图的,值得探索</x:v>
      </x:c>
      <x:c r="M19" s="8" t="n">
        <x:v>0</x:v>
      </x:c>
      <x:c r="N19" s="8" t="str">
        <x:v>{"厨房与用餐": 5}</x:v>
      </x:c>
    </x:row>
    <x:row r="20" ht="44" customHeight="1">
      <x:c r="A20" s="8" t="str">
        <x:v>G178</x:v>
      </x:c>
      <x:c r="B20" s="8" t="str">
        <x:v>uNb9QFRL6hY</x:v>
      </x:c>
      <x:c r="C20" s="8" t="str">
        <x:v>新建多视点来源</x:v>
      </x:c>
      <x:c r="D20" s="8" t="n">
        <x:v>7</x:v>
      </x:c>
      <x:c r="E20" s="8" t="str">
        <x:v>07、14、48、72、78、79、87</x:v>
      </x:c>
      <x:c r="F20" s="8" t="str"/>
      <x:c r="G20" s="8" t="str">
        <x:v>07、14、48、78</x:v>
      </x:c>
      <x:c r="H20" s="8" t="str">
        <x:v>72、79、87</x:v>
      </x:c>
      <x:c r="I20" s="8" t="str">
        <x:v>explicit_confirmed</x:v>
      </x:c>
      <x:c r="J20" s="8" t="str">
        <x:v>7图书房，现有记录无该房的Manual/Semi接触；07/14/48与柜旁视点可做信息变化研究。</x:v>
      </x:c>
      <x:c r="K20" s="8" t="str">
        <x:v>书柜和桌椅遮墙脚，不能因预期相近就判简单；78/79接近，若只取有限视点应避免全部为近重复。</x:v>
      </x:c>
      <x:c r="L20" s="8" t="str"/>
      <x:c r="M20" s="8" t="n">
        <x:v>0</x:v>
      </x:c>
      <x:c r="N20" s="8" t="str">
        <x:v>{"工作与学习": 7}</x:v>
      </x:c>
    </x:row>
    <x:row r="21" ht="44" customHeight="1">
      <x:c r="A21" s="8" t="str">
        <x:v>G090</x:v>
      </x:c>
      <x:c r="B21" s="8" t="str">
        <x:v>e9zR4mvMWw7</x:v>
      </x:c>
      <x:c r="C21" s="8" t="str">
        <x:v>新建多视点来源</x:v>
      </x:c>
      <x:c r="D21" s="8" t="n">
        <x:v>7</x:v>
      </x:c>
      <x:c r="E21" s="8" t="str">
        <x:v>03、07、08、11、28、26、15</x:v>
      </x:c>
      <x:c r="F21" s="8" t="str"/>
      <x:c r="G21" s="8" t="str">
        <x:v>07、08、11、28</x:v>
      </x:c>
      <x:c r="H21" s="8" t="str">
        <x:v>03、26、15</x:v>
      </x:c>
      <x:c r="I21" s="8" t="str">
        <x:v>explicit_confirmed</x:v>
      </x:c>
      <x:c r="J21" s="8" t="str">
        <x:v>7图卧室，可比较墙侧、入口、卫浴口和衣帽口；03已有模型辅助历史可作独立条件的背景。</x:v>
      </x:c>
      <x:c r="K21" s="8" t="str">
        <x:v>19人全部做过03 Semi。新图是未标过的视点，不是从未接触房间；11号v2粗类待拆解，07/26与08/15近似。</x:v>
      </x:c>
      <x:c r="L21" s="8" t="str"/>
      <x:c r="M21" s="8" t="n">
        <x:v>19</x:v>
      </x:c>
      <x:c r="N21" s="8" t="str">
        <x:v>{"卧室": 6, "待定": 1}</x:v>
      </x:c>
    </x:row>
    <x:row r="22" ht="44" customHeight="1">
      <x:c r="A22" s="8" t="str">
        <x:v>G027</x:v>
      </x:c>
      <x:c r="B22" s="8" t="str">
        <x:v>B6ByNegPMKs</x:v>
      </x:c>
      <x:c r="C22" s="8" t="str">
        <x:v>不同稳定过程的补充</x:v>
      </x:c>
      <x:c r="D22" s="8" t="n">
        <x:v>2</x:v>
      </x:c>
      <x:c r="E22" s="8" t="str">
        <x:v>11、45</x:v>
      </x:c>
      <x:c r="F22" s="8" t="str">
        <x:v>11</x:v>
      </x:c>
      <x:c r="G22" s="8" t="str">
        <x:v>45</x:v>
      </x:c>
      <x:c r="H22" s="8" t="str"/>
      <x:c r="I22" s="8" t="str">
        <x:v>viewed_per_user_statement</x:v>
      </x:c>
      <x:c r="J22" s="8" t="str">
        <x:v>11号已有25人，旧几何回放提示晚期多簇；45为新目标，可补充不只早稳定的来源。</x:v>
      </x:c>
      <x:c r="K22" s="8" t="str">
        <x:v>多簇线索依赖聚类/窗口参数，不是无条件真值；原难度相似性待定。</x:v>
      </x:c>
      <x:c r="L22" s="8" t="str"/>
      <x:c r="M22" s="8" t="n">
        <x:v>0</x:v>
      </x:c>
      <x:c r="N22" s="8" t="str">
        <x:v>{"通行与连接": 2}</x:v>
      </x:c>
    </x:row>
    <x:row r="23" ht="44" customHeight="1">
      <x:c r="A23" s="8" t="str">
        <x:v>G202</x:v>
      </x:c>
      <x:c r="B23" s="8" t="str">
        <x:v>wc2JMjhGNzB</x:v>
      </x:c>
      <x:c r="C23" s="8" t="str">
        <x:v>不同稳定过程的补充</x:v>
      </x:c>
      <x:c r="D23" s="8" t="n">
        <x:v>5</x:v>
      </x:c>
      <x:c r="E23" s="8" t="str">
        <x:v>02、25、26、51、53</x:v>
      </x:c>
      <x:c r="F23" s="8" t="str">
        <x:v>53</x:v>
      </x:c>
      <x:c r="G23" s="8" t="str">
        <x:v>26、02、25、51</x:v>
      </x:c>
      <x:c r="H23" s="8" t="str"/>
      <x:c r="I23" s="8" t="str">
        <x:v>explicit_discussion</x:v>
      </x:c>
      <x:c r="J23" s="8" t="str">
        <x:v>53号23人，26号6人；02/25/51提供主卫内部视点，可与长廊口26、坐便间门旁53对照。</x:v>
      </x:c>
      <x:c r="K23" s="8" t="str">
        <x:v>原状态仍需讨论；26范围歧义不能靠多数票自动变成错误。</x:v>
      </x:c>
      <x:c r="L23" s="8" t="str">
        <x:v>这组图难标,特别是26歧义很大,但是可不可以作为歧义很大的预测候选?</x:v>
      </x:c>
      <x:c r="M23" s="8" t="n">
        <x:v>0</x:v>
      </x:c>
      <x:c r="N23" s="8" t="str">
        <x:v>{"卫浴": 5}</x:v>
      </x:c>
    </x:row>
    <x:row r="24" ht="44" customHeight="1">
      <x:c r="A24" s="8" t="str">
        <x:v>G036</x:v>
      </x:c>
      <x:c r="B24" s="8" t="str">
        <x:v>B6ByNegPMKs</x:v>
      </x:c>
      <x:c r="C24" s="8" t="str">
        <x:v>不同稳定过程的补充</x:v>
      </x:c>
      <x:c r="D24" s="8" t="n">
        <x:v>2</x:v>
      </x:c>
      <x:c r="E24" s="8" t="str">
        <x:v>33、37</x:v>
      </x:c>
      <x:c r="F24" s="8" t="str">
        <x:v>33</x:v>
      </x:c>
      <x:c r="G24" s="8" t="str">
        <x:v>37</x:v>
      </x:c>
      <x:c r="H24" s="8" t="str"/>
      <x:c r="I24" s="8" t="str">
        <x:v>explicit_confirmed</x:v>
      </x:c>
      <x:c r="J24" s="8" t="str">
        <x:v>33号25人，37号6人；有同房闭合差异，15人目标可利用旧记录低成本补齐。</x:v>
      </x:c>
      <x:c r="K24" s="8" t="str">
        <x:v>37有4份Semi；全部历史清洁Manual容量17，当前19人容量16，不能无新工人就保证19份独立Manual。</x:v>
      </x:c>
      <x:c r="L24" s="8" t="str">
        <x:v>这走廊闭合方式可能略有不同</x:v>
      </x:c>
      <x:c r="M24" s="8" t="n">
        <x:v>3</x:v>
      </x:c>
      <x:c r="N24" s="8" t="str">
        <x:v>{"通行与连接": 2}</x:v>
      </x:c>
    </x:row>
    <x:row r="25" ht="44" customHeight="1">
      <x:c r="A25" s="8" t="str">
        <x:v>G197</x:v>
      </x:c>
      <x:c r="B25" s="8" t="str">
        <x:v>uNb9QFRL6hY</x:v>
      </x:c>
      <x:c r="C25" s="8" t="str">
        <x:v>不同稳定过程的补充</x:v>
      </x:c>
      <x:c r="D25" s="8" t="n">
        <x:v>2</x:v>
      </x:c>
      <x:c r="E25" s="8" t="str">
        <x:v>47、75</x:v>
      </x:c>
      <x:c r="F25" s="8" t="str">
        <x:v>47</x:v>
      </x:c>
      <x:c r="G25" s="8" t="str">
        <x:v>75</x:v>
      </x:c>
      <x:c r="H25" s="8" t="str"/>
      <x:c r="I25" s="8" t="str">
        <x:v>viewed_per_user_statement</x:v>
      </x:c>
      <x:c r="J25" s="8" t="str">
        <x:v>47号26人，75为新视点；用于检查历史不确定状态能否在新视点重现。</x:v>
      </x:c>
      <x:c r="K25" s="8" t="str">
        <x:v>既有评论曾看过结果，不能称完全结果盲选；旧结论主要为计算/起点未知，不等于已证明持续不稳定。</x:v>
      </x:c>
      <x:c r="L25" s="8" t="str">
        <x:v>47不好标,有误导性,我记得这张图他们以前标的不好</x:v>
      </x:c>
      <x:c r="M25" s="8" t="n">
        <x:v>0</x:v>
      </x:c>
      <x:c r="N25" s="8" t="str">
        <x:v>{"卫浴": 2}</x:v>
      </x:c>
    </x:row>
    <x:row r="26" ht="44" customHeight="1">
      <x:c r="A26" s="8" t="str">
        <x:v>G014</x:v>
      </x:c>
      <x:c r="B26" s="8" t="str">
        <x:v>7y3sRwLe3Va</x:v>
      </x:c>
      <x:c r="C26" s="8" t="str">
        <x:v>Scope专项候选</x:v>
      </x:c>
      <x:c r="D26" s="8" t="n">
        <x:v>4</x:v>
      </x:c>
      <x:c r="E26" s="8" t="str">
        <x:v>08、17、12、22</x:v>
      </x:c>
      <x:c r="F26" s="8" t="str">
        <x:v>08、12</x:v>
      </x:c>
      <x:c r="G26" s="8" t="str">
        <x:v>17、22</x:v>
      </x:c>
      <x:c r="H26" s="8" t="str"/>
      <x:c r="I26" s="8" t="str">
        <x:v>explicit_discussion</x:v>
      </x:c>
      <x:c r="J26" s="8" t="str">
        <x:v>08/12各已有25人，应先复用；17/22各5人，需要新的视点Scope证据才考虑补齐。</x:v>
      </x:c>
      <x:c r="K26" s="8" t="str">
        <x:v>用户明确全组OOS。仅作为Scope/受限表示挑战，不混入普通唯一参考质量指标；不要为Scope投票强制重画已有图。</x:v>
      </x:c>
      <x:c r="L26" s="8" t="str">
        <x:v>这全是OOS,而且其实和7y3sRwLe3Va · 13 他们这组,都是在二层拍摄</x:v>
      </x:c>
      <x:c r="M26" s="8" t="n">
        <x:v>0</x:v>
      </x:c>
      <x:c r="N26" s="8" t="str">
        <x:v>{"通行与连接": 4}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6dcf607000f84d3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" hidden="0" customWidth="1"/>
    <x:col min="3" max="3" width="19" hidden="0" customWidth="1"/>
    <x:col min="4" max="4" width="36" hidden="0" customWidth="1"/>
    <x:col min="5" max="5" width="27" hidden="0" customWidth="1"/>
    <x:col min="6" max="6" width="2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28" hidden="0" customWidth="1"/>
    <x:col min="12" max="12" width="36" hidden="0" customWidth="1"/>
    <x:col min="13" max="13" width="38" hidden="0" customWidth="1"/>
  </x:cols>
  <x:sheetData>
    <x:row r="1" ht="28" customHeight="1">
      <x:c r="A1" s="10" t="str">
        <x:v>648图来源核对｜不静默修正用户的空间分类</x:v>
      </x:c>
    </x:row>
    <x:row r="4" ht="34" customHeight="1">
      <x:c r="A4" s="4" t="str">
        <x:v>Building</x:v>
      </x:c>
      <x:c r="B4" s="4" t="str">
        <x:v>图号</x:v>
      </x:c>
      <x:c r="C4" s="4" t="str">
        <x:v>v2采用粗类</x:v>
      </x:c>
      <x:c r="D4" s="4" t="str">
        <x:v>采用来源</x:v>
      </x:c>
      <x:c r="E4" s="4" t="str">
        <x:v>旧粗类原文</x:v>
      </x:c>
      <x:c r="F4" s="4" t="str">
        <x:v>AI建议非真值</x:v>
      </x:c>
      <x:c r="G4" s="4" t="str">
        <x:v>历史M</x:v>
      </x:c>
      <x:c r="H4" s="4" t="str">
        <x:v>当前19人M</x:v>
      </x:c>
      <x:c r="I4" s="4" t="str">
        <x:v>Semi</x:v>
      </x:c>
      <x:c r="J4" s="4" t="str">
        <x:v>可新标人数</x:v>
      </x:c>
      <x:c r="K4" s="4" t="str">
        <x:v>关联组</x:v>
      </x:c>
      <x:c r="L4" s="4" t="str">
        <x:v>仓库文件URL</x:v>
      </x:c>
      <x:c r="M4" s="4" t="str">
        <x:v>完整image_id</x:v>
      </x:c>
    </x:row>
    <x:row r="5" ht="44" customHeight="1">
      <x:c r="A5" s="8" t="str">
        <x:v>2t7WUuJeko7</x:v>
      </x:c>
      <x:c r="B5" s="8" t="n">
        <x:v>1</x:v>
      </x:c>
      <x:c r="C5" s="8" t="str">
        <x:v>卧室</x:v>
      </x:c>
      <x:c r="D5" s="8" t="str">
        <x:v>早期争议复核导出.user_type</x:v>
      </x:c>
      <x:c r="E5" s="8" t="str">
        <x:v>卧室</x:v>
      </x:c>
      <x:c r="F5" s="8" t="str">
        <x:v>卧室</x:v>
      </x:c>
      <x:c r="G5" s="8" t="n">
        <x:v>0</x:v>
      </x:c>
      <x:c r="H5" s="8" t="n">
        <x:v>0</x:v>
      </x:c>
      <x:c r="I5" s="8" t="n">
        <x:v>0</x:v>
      </x:c>
      <x:c r="J5" s="8" t="n">
        <x:v>19</x:v>
      </x:c>
      <x:c r="K5" s="8" t="str">
        <x:v>["G001"]</x:v>
      </x:c>
      <x:c r="L5" s="8" t="str">
        <x:v>https://github.com/Sparkling-Flames/3D_Manhattan_label/blob/844a4694627e1eacc6bfb48911897335e48ecc17/data/mp3d_layout/valid/img/2t7WUuJeko7_073656b4030d4389ba7f304298be1d73.png</x:v>
      </x:c>
      <x:c r="M5" s="8" t="str">
        <x:v>2t7WUuJeko7_073656b4030d4389ba7f304298be1d73</x:v>
      </x:c>
    </x:row>
    <x:row r="6" ht="44" customHeight="1">
      <x:c r="A6" s="8" t="str">
        <x:v>2t7WUuJeko7</x:v>
      </x:c>
      <x:c r="B6" s="8" t="n">
        <x:v>2</x:v>
      </x:c>
      <x:c r="C6" s="8" t="str">
        <x:v>厨房与用餐</x:v>
      </x:c>
      <x:c r="D6" s="8" t="str">
        <x:v>早期争议复核导出.user_type</x:v>
      </x:c>
      <x:c r="E6" s="8" t="str">
        <x:v>厨房与用餐</x:v>
      </x:c>
      <x:c r="F6" s="8" t="str">
        <x:v>厨房与用餐</x:v>
      </x:c>
      <x:c r="G6" s="8" t="n">
        <x:v>0</x:v>
      </x:c>
      <x:c r="H6" s="8" t="n">
        <x:v>0</x:v>
      </x:c>
      <x:c r="I6" s="8" t="n">
        <x:v>0</x:v>
      </x:c>
      <x:c r="J6" s="8" t="n">
        <x:v>19</x:v>
      </x:c>
      <x:c r="K6" s="8" t="str">
        <x:v>["G002"]</x:v>
      </x:c>
      <x:c r="L6" s="8" t="str">
        <x:v>https://github.com/Sparkling-Flames/3D_Manhattan_label/blob/844a4694627e1eacc6bfb48911897335e48ecc17/data/mp3d_layout/valid/img/2t7WUuJeko7_1a0d730696cc4057b0037a75c8ef6b59.png</x:v>
      </x:c>
      <x:c r="M6" s="8" t="str">
        <x:v>2t7WUuJeko7_1a0d730696cc4057b0037a75c8ef6b59</x:v>
      </x:c>
    </x:row>
    <x:row r="7" ht="44" customHeight="1">
      <x:c r="A7" s="8" t="str">
        <x:v>2t7WUuJeko7</x:v>
      </x:c>
      <x:c r="B7" s="8" t="n">
        <x:v>3</x:v>
      </x:c>
      <x:c r="C7" s="8" t="str">
        <x:v>厨房与用餐</x:v>
      </x:c>
      <x:c r="D7" s="8" t="str">
        <x:v>早期争议复核导出.user_type</x:v>
      </x:c>
      <x:c r="E7" s="8" t="str">
        <x:v>厨房与用餐</x:v>
      </x:c>
      <x:c r="F7" s="8" t="str">
        <x:v>厨房与用餐</x:v>
      </x:c>
      <x:c r="G7" s="8" t="n">
        <x:v>0</x:v>
      </x:c>
      <x:c r="H7" s="8" t="n">
        <x:v>0</x:v>
      </x:c>
      <x:c r="I7" s="8" t="n">
        <x:v>0</x:v>
      </x:c>
      <x:c r="J7" s="8" t="n">
        <x:v>19</x:v>
      </x:c>
      <x:c r="K7" s="8" t="str">
        <x:v>["G002"]</x:v>
      </x:c>
      <x:c r="L7" s="8" t="str">
        <x:v>https://github.com/Sparkling-Flames/3D_Manhattan_label/blob/844a4694627e1eacc6bfb48911897335e48ecc17/data/mp3d_layout/valid/img/2t7WUuJeko7_218fdf5321f9482e85e828c56f2c0c94.png</x:v>
      </x:c>
      <x:c r="M7" s="8" t="str">
        <x:v>2t7WUuJeko7_218fdf5321f9482e85e828c56f2c0c94</x:v>
      </x:c>
    </x:row>
    <x:row r="8" ht="44" customHeight="1">
      <x:c r="A8" s="8" t="str">
        <x:v>2t7WUuJeko7</x:v>
      </x:c>
      <x:c r="B8" s="8" t="n">
        <x:v>4</x:v>
      </x:c>
      <x:c r="C8" s="8" t="str">
        <x:v>通行与连接</x:v>
      </x:c>
      <x:c r="D8" s="8" t="str">
        <x:v>早期争议复核导出.user_type</x:v>
      </x:c>
      <x:c r="E8" s="8" t="str">
        <x:v>通行与连接</x:v>
      </x:c>
      <x:c r="F8" s="8" t="str">
        <x:v>通行与连接</x:v>
      </x:c>
      <x:c r="G8" s="8" t="n">
        <x:v>0</x:v>
      </x:c>
      <x:c r="H8" s="8" t="n">
        <x:v>0</x:v>
      </x:c>
      <x:c r="I8" s="8" t="n">
        <x:v>0</x:v>
      </x:c>
      <x:c r="J8" s="8" t="n">
        <x:v>19</x:v>
      </x:c>
      <x:c r="K8" s="8" t="str">
        <x:v>["G003"]</x:v>
      </x:c>
      <x:c r="L8" s="8" t="str">
        <x:v>https://github.com/Sparkling-Flames/3D_Manhattan_label/blob/844a4694627e1eacc6bfb48911897335e48ecc17/data/mp3d_layout/valid/img/2t7WUuJeko7_27af7fd637014142a4f530cfd4557189.png</x:v>
      </x:c>
      <x:c r="M8" s="8" t="str">
        <x:v>2t7WUuJeko7_27af7fd637014142a4f530cfd4557189</x:v>
      </x:c>
    </x:row>
    <x:row r="9" ht="44" customHeight="1">
      <x:c r="A9" s="8" t="str">
        <x:v>2t7WUuJeko7</x:v>
      </x:c>
      <x:c r="B9" s="8" t="n">
        <x:v>5</x:v>
      </x:c>
      <x:c r="C9" s="8" t="str">
        <x:v>厨房与用餐</x:v>
      </x:c>
      <x:c r="D9" s="8" t="str">
        <x:v>早期争议复核导出.user_type</x:v>
      </x:c>
      <x:c r="E9" s="8" t="str">
        <x:v>厨房与用餐</x:v>
      </x:c>
      <x:c r="F9" s="8" t="str">
        <x:v>厨房与用餐</x:v>
      </x:c>
      <x:c r="G9" s="8" t="n">
        <x:v>0</x:v>
      </x:c>
      <x:c r="H9" s="8" t="n">
        <x:v>0</x:v>
      </x:c>
      <x:c r="I9" s="8" t="n">
        <x:v>0</x:v>
      </x:c>
      <x:c r="J9" s="8" t="n">
        <x:v>19</x:v>
      </x:c>
      <x:c r="K9" s="8" t="str">
        <x:v>["G002"]</x:v>
      </x:c>
      <x:c r="L9" s="8" t="str">
        <x:v>https://github.com/Sparkling-Flames/3D_Manhattan_label/blob/844a4694627e1eacc6bfb48911897335e48ecc17/data/mp3d_layout/valid/img/2t7WUuJeko7_383d84c26afa4fae9e68b89d445e091e.png</x:v>
      </x:c>
      <x:c r="M9" s="8" t="str">
        <x:v>2t7WUuJeko7_383d84c26afa4fae9e68b89d445e091e</x:v>
      </x:c>
    </x:row>
    <x:row r="10" ht="44" customHeight="1">
      <x:c r="A10" s="8" t="str">
        <x:v>2t7WUuJeko7</x:v>
      </x:c>
      <x:c r="B10" s="8" t="n">
        <x:v>6</x:v>
      </x:c>
      <x:c r="C10" s="8" t="str">
        <x:v>通行与连接</x:v>
      </x:c>
      <x:c r="D10" s="8" t="str">
        <x:v>早期争议复核导出.user_type</x:v>
      </x:c>
      <x:c r="E10" s="8" t="str">
        <x:v>通行与连接</x:v>
      </x:c>
      <x:c r="F10" s="8" t="str">
        <x:v>通行与连接</x:v>
      </x:c>
      <x:c r="G10" s="8" t="n">
        <x:v>3</x:v>
      </x:c>
      <x:c r="H10" s="8" t="n">
        <x:v>3</x:v>
      </x:c>
      <x:c r="I10" s="8" t="n">
        <x:v>0</x:v>
      </x:c>
      <x:c r="J10" s="8" t="n">
        <x:v>16</x:v>
      </x:c>
      <x:c r="K10" s="8" t="str">
        <x:v>["G003"]</x:v>
      </x:c>
      <x:c r="L10" s="8" t="str">
        <x:v>https://github.com/Sparkling-Flames/3D_Manhattan_label/blob/844a4694627e1eacc6bfb48911897335e48ecc17/data/mp3d_layout/valid/img/2t7WUuJeko7_3be66dc4f0fb46449d63b07d92c74f3f.png</x:v>
      </x:c>
      <x:c r="M10" s="8" t="str">
        <x:v>2t7WUuJeko7_3be66dc4f0fb46449d63b07d92c74f3f</x:v>
      </x:c>
    </x:row>
    <x:row r="11" ht="44" customHeight="1">
      <x:c r="A11" s="8" t="str">
        <x:v>2t7WUuJeko7</x:v>
      </x:c>
      <x:c r="B11" s="8" t="n">
        <x:v>7</x:v>
      </x:c>
      <x:c r="C11" s="8" t="str">
        <x:v>卫浴</x:v>
      </x:c>
      <x:c r="D11" s="8" t="str">
        <x:v>早期争议复核导出.user_type</x:v>
      </x:c>
      <x:c r="E11" s="8" t="str">
        <x:v>卫浴</x:v>
      </x:c>
      <x:c r="F11" s="8" t="str">
        <x:v>卫浴</x:v>
      </x:c>
      <x:c r="G11" s="8" t="n">
        <x:v>0</x:v>
      </x:c>
      <x:c r="H11" s="8" t="n">
        <x:v>0</x:v>
      </x:c>
      <x:c r="I11" s="8" t="n">
        <x:v>0</x:v>
      </x:c>
      <x:c r="J11" s="8" t="n">
        <x:v>19</x:v>
      </x:c>
      <x:c r="K11" s="8" t="str">
        <x:v>["G004"]</x:v>
      </x:c>
      <x:c r="L11" s="8" t="str">
        <x:v>https://github.com/Sparkling-Flames/3D_Manhattan_label/blob/844a4694627e1eacc6bfb48911897335e48ecc17/data/mp3d_layout/valid/img/2t7WUuJeko7_53937db036374126830e0f1203b04ead.png</x:v>
      </x:c>
      <x:c r="M11" s="8" t="str">
        <x:v>2t7WUuJeko7_53937db036374126830e0f1203b04ead</x:v>
      </x:c>
    </x:row>
    <x:row r="12" ht="44" customHeight="1">
      <x:c r="A12" s="8" t="str">
        <x:v>2t7WUuJeko7</x:v>
      </x:c>
      <x:c r="B12" s="8" t="n">
        <x:v>8</x:v>
      </x:c>
      <x:c r="C12" s="8" t="str">
        <x:v>卫浴</x:v>
      </x:c>
      <x:c r="D12" s="8" t="str">
        <x:v>早期争议复核导出.user_type</x:v>
      </x:c>
      <x:c r="E12" s="8" t="str">
        <x:v>卫浴</x:v>
      </x:c>
      <x:c r="F12" s="8" t="str">
        <x:v>卫浴</x:v>
      </x:c>
      <x:c r="G12" s="8" t="n">
        <x:v>0</x:v>
      </x:c>
      <x:c r="H12" s="8" t="n">
        <x:v>0</x:v>
      </x:c>
      <x:c r="I12" s="8" t="n">
        <x:v>0</x:v>
      </x:c>
      <x:c r="J12" s="8" t="n">
        <x:v>19</x:v>
      </x:c>
      <x:c r="K12" s="8" t="str">
        <x:v>["G004"]</x:v>
      </x:c>
      <x:c r="L12" s="8" t="str">
        <x:v>https://github.com/Sparkling-Flames/3D_Manhattan_label/blob/844a4694627e1eacc6bfb48911897335e48ecc17/data/mp3d_layout/valid/img/2t7WUuJeko7_5db6d45b905f458a8290e69ff3e8d820.png</x:v>
      </x:c>
      <x:c r="M12" s="8" t="str">
        <x:v>2t7WUuJeko7_5db6d45b905f458a8290e69ff3e8d820</x:v>
      </x:c>
    </x:row>
    <x:row r="13" ht="44" customHeight="1">
      <x:c r="A13" s="8" t="str">
        <x:v>2t7WUuJeko7</x:v>
      </x:c>
      <x:c r="B13" s="8" t="n">
        <x:v>9</x:v>
      </x:c>
      <x:c r="C13" s="8" t="str">
        <x:v>卧室</x:v>
      </x:c>
      <x:c r="D13" s="8" t="str">
        <x:v>早期争议复核导出.user_type</x:v>
      </x:c>
      <x:c r="E13" s="8" t="str">
        <x:v>卧室</x:v>
      </x:c>
      <x:c r="F13" s="8" t="str">
        <x:v>卧室</x:v>
      </x:c>
      <x:c r="G13" s="8" t="n">
        <x:v>3</x:v>
      </x:c>
      <x:c r="H13" s="8" t="n">
        <x:v>3</x:v>
      </x:c>
      <x:c r="I13" s="8" t="n">
        <x:v>0</x:v>
      </x:c>
      <x:c r="J13" s="8" t="n">
        <x:v>16</x:v>
      </x:c>
      <x:c r="K13" s="8" t="str">
        <x:v>["G005"]</x:v>
      </x:c>
      <x:c r="L13" s="8" t="str">
        <x:v>https://github.com/Sparkling-Flames/3D_Manhattan_label/blob/844a4694627e1eacc6bfb48911897335e48ecc17/data/mp3d_layout/valid/img/2t7WUuJeko7_7b017f053981438a9c075e599f2c5866.png</x:v>
      </x:c>
      <x:c r="M13" s="8" t="str">
        <x:v>2t7WUuJeko7_7b017f053981438a9c075e599f2c5866</x:v>
      </x:c>
    </x:row>
    <x:row r="14" ht="44" customHeight="1">
      <x:c r="A14" s="8" t="str">
        <x:v>2t7WUuJeko7</x:v>
      </x:c>
      <x:c r="B14" s="8" t="n">
        <x:v>10</x:v>
      </x:c>
      <x:c r="C14" s="8" t="str">
        <x:v>厨房与用餐</x:v>
      </x:c>
      <x:c r="D14" s="8" t="str">
        <x:v>早期争议复核导出.user_type</x:v>
      </x:c>
      <x:c r="E14" s="8" t="str">
        <x:v>厨房与用餐</x:v>
      </x:c>
      <x:c r="F14" s="8" t="str">
        <x:v>厨房与用餐</x:v>
      </x:c>
      <x:c r="G14" s="8" t="n">
        <x:v>0</x:v>
      </x:c>
      <x:c r="H14" s="8" t="n">
        <x:v>0</x:v>
      </x:c>
      <x:c r="I14" s="8" t="n">
        <x:v>0</x:v>
      </x:c>
      <x:c r="J14" s="8" t="n">
        <x:v>19</x:v>
      </x:c>
      <x:c r="K14" s="8" t="str">
        <x:v>["G002"]</x:v>
      </x:c>
      <x:c r="L14" s="8" t="str">
        <x:v>https://github.com/Sparkling-Flames/3D_Manhattan_label/blob/844a4694627e1eacc6bfb48911897335e48ecc17/data/mp3d_layout/valid/img/2t7WUuJeko7_8898d3cea28d404f8f69c3a3bce52371.png</x:v>
      </x:c>
      <x:c r="M14" s="8" t="str">
        <x:v>2t7WUuJeko7_8898d3cea28d404f8f69c3a3bce52371</x:v>
      </x:c>
    </x:row>
    <x:row r="15" ht="44" customHeight="1">
      <x:c r="A15" s="8" t="str">
        <x:v>2t7WUuJeko7</x:v>
      </x:c>
      <x:c r="B15" s="8" t="n">
        <x:v>11</x:v>
      </x:c>
      <x:c r="C15" s="8" t="str">
        <x:v>卧室</x:v>
      </x:c>
      <x:c r="D15" s="8" t="str">
        <x:v>早期争议复核导出.user_type</x:v>
      </x:c>
      <x:c r="E15" s="8" t="str">
        <x:v>卧室</x:v>
      </x:c>
      <x:c r="F15" s="8" t="str">
        <x:v>卧室</x:v>
      </x:c>
      <x:c r="G15" s="8" t="n">
        <x:v>0</x:v>
      </x:c>
      <x:c r="H15" s="8" t="n">
        <x:v>0</x:v>
      </x:c>
      <x:c r="I15" s="8" t="n">
        <x:v>0</x:v>
      </x:c>
      <x:c r="J15" s="8" t="n">
        <x:v>19</x:v>
      </x:c>
      <x:c r="K15" s="8" t="str">
        <x:v>["G001"]</x:v>
      </x:c>
      <x:c r="L15" s="8" t="str">
        <x:v>https://github.com/Sparkling-Flames/3D_Manhattan_label/blob/844a4694627e1eacc6bfb48911897335e48ecc17/data/mp3d_layout/valid/img/2t7WUuJeko7_8d51f41d9ce04dfdaae944da9c6d3847.png</x:v>
      </x:c>
      <x:c r="M15" s="8" t="str">
        <x:v>2t7WUuJeko7_8d51f41d9ce04dfdaae944da9c6d3847</x:v>
      </x:c>
    </x:row>
    <x:row r="16" ht="44" customHeight="1">
      <x:c r="A16" s="8" t="str">
        <x:v>2t7WUuJeko7</x:v>
      </x:c>
      <x:c r="B16" s="8" t="n">
        <x:v>12</x:v>
      </x:c>
      <x:c r="C16" s="8" t="str">
        <x:v>卧室</x:v>
      </x:c>
      <x:c r="D16" s="8" t="str">
        <x:v>早期争议复核导出.user_type</x:v>
      </x:c>
      <x:c r="E16" s="8" t="str">
        <x:v>卧室</x:v>
      </x:c>
      <x:c r="F16" s="8" t="str">
        <x:v>卧室</x:v>
      </x:c>
      <x:c r="G16" s="8" t="n">
        <x:v>0</x:v>
      </x:c>
      <x:c r="H16" s="8" t="n">
        <x:v>0</x:v>
      </x:c>
      <x:c r="I16" s="8" t="n">
        <x:v>0</x:v>
      </x:c>
      <x:c r="J16" s="8" t="n">
        <x:v>19</x:v>
      </x:c>
      <x:c r="K16" s="8" t="str">
        <x:v>["G005"]</x:v>
      </x:c>
      <x:c r="L16" s="8" t="str">
        <x:v>https://github.com/Sparkling-Flames/3D_Manhattan_label/blob/844a4694627e1eacc6bfb48911897335e48ecc17/data/mp3d_layout/valid/img/2t7WUuJeko7_9039d42e4ef4406fa57a2fbd2daba6cf.png</x:v>
      </x:c>
      <x:c r="M16" s="8" t="str">
        <x:v>2t7WUuJeko7_9039d42e4ef4406fa57a2fbd2daba6cf</x:v>
      </x:c>
    </x:row>
    <x:row r="17" ht="44" customHeight="1">
      <x:c r="A17" s="8" t="str">
        <x:v>2t7WUuJeko7</x:v>
      </x:c>
      <x:c r="B17" s="8" t="n">
        <x:v>13</x:v>
      </x:c>
      <x:c r="C17" s="8" t="str">
        <x:v>卧室</x:v>
      </x:c>
      <x:c r="D17" s="8" t="str">
        <x:v>早期争议复核导出.user_type</x:v>
      </x:c>
      <x:c r="E17" s="8" t="str">
        <x:v>卧室</x:v>
      </x:c>
      <x:c r="F17" s="8" t="str">
        <x:v>卧室</x:v>
      </x:c>
      <x:c r="G17" s="8" t="n">
        <x:v>1</x:v>
      </x:c>
      <x:c r="H17" s="8" t="n">
        <x:v>0</x:v>
      </x:c>
      <x:c r="I17" s="8" t="n">
        <x:v>0</x:v>
      </x:c>
      <x:c r="J17" s="8" t="n">
        <x:v>19</x:v>
      </x:c>
      <x:c r="K17" s="8" t="str">
        <x:v>["G001"]</x:v>
      </x:c>
      <x:c r="L17" s="8" t="str">
        <x:v>https://github.com/Sparkling-Flames/3D_Manhattan_label/blob/844a4694627e1eacc6bfb48911897335e48ecc17/data/mp3d_layout/valid/img/2t7WUuJeko7_976c954bc5944db493d6149ee4bc7a2a.png</x:v>
      </x:c>
      <x:c r="M17" s="8" t="str">
        <x:v>2t7WUuJeko7_976c954bc5944db493d6149ee4bc7a2a</x:v>
      </x:c>
    </x:row>
    <x:row r="18" ht="44" customHeight="1">
      <x:c r="A18" s="8" t="str">
        <x:v>2t7WUuJeko7</x:v>
      </x:c>
      <x:c r="B18" s="8" t="n">
        <x:v>14</x:v>
      </x:c>
      <x:c r="C18" s="8" t="str">
        <x:v>卧室</x:v>
      </x:c>
      <x:c r="D18" s="8" t="str">
        <x:v>早期争议复核导出.user_type</x:v>
      </x:c>
      <x:c r="E18" s="8" t="str">
        <x:v>卧室</x:v>
      </x:c>
      <x:c r="F18" s="8" t="str">
        <x:v>卧室</x:v>
      </x:c>
      <x:c r="G18" s="8" t="n">
        <x:v>0</x:v>
      </x:c>
      <x:c r="H18" s="8" t="n">
        <x:v>0</x:v>
      </x:c>
      <x:c r="I18" s="8" t="n">
        <x:v>0</x:v>
      </x:c>
      <x:c r="J18" s="8" t="n">
        <x:v>19</x:v>
      </x:c>
      <x:c r="K18" s="8" t="str">
        <x:v>["G001"]</x:v>
      </x:c>
      <x:c r="L18" s="8" t="str">
        <x:v>https://github.com/Sparkling-Flames/3D_Manhattan_label/blob/844a4694627e1eacc6bfb48911897335e48ecc17/data/mp3d_layout/valid/img/2t7WUuJeko7_a3297c84260041288c5c38c0d1aa0a9a.png</x:v>
      </x:c>
      <x:c r="M18" s="8" t="str">
        <x:v>2t7WUuJeko7_a3297c84260041288c5c38c0d1aa0a9a</x:v>
      </x:c>
    </x:row>
    <x:row r="19" ht="44" customHeight="1">
      <x:c r="A19" s="8" t="str">
        <x:v>2t7WUuJeko7</x:v>
      </x:c>
      <x:c r="B19" s="8" t="n">
        <x:v>15</x:v>
      </x:c>
      <x:c r="C19" s="8" t="str">
        <x:v>卫浴</x:v>
      </x:c>
      <x:c r="D19" s="8" t="str">
        <x:v>早期争议复核导出.user_type</x:v>
      </x:c>
      <x:c r="E19" s="8" t="str">
        <x:v>卫浴</x:v>
      </x:c>
      <x:c r="F19" s="8" t="str">
        <x:v>卫浴</x:v>
      </x:c>
      <x:c r="G19" s="8" t="n">
        <x:v>0</x:v>
      </x:c>
      <x:c r="H19" s="8" t="n">
        <x:v>0</x:v>
      </x:c>
      <x:c r="I19" s="8" t="n">
        <x:v>0</x:v>
      </x:c>
      <x:c r="J19" s="8" t="n">
        <x:v>19</x:v>
      </x:c>
      <x:c r="K19" s="8" t="str">
        <x:v>["G004"]</x:v>
      </x:c>
      <x:c r="L19" s="8" t="str">
        <x:v>https://github.com/Sparkling-Flames/3D_Manhattan_label/blob/844a4694627e1eacc6bfb48911897335e48ecc17/data/mp3d_layout/valid/img/2t7WUuJeko7_b72b7b78675f429a9f382a44e551cffc.png</x:v>
      </x:c>
      <x:c r="M19" s="8" t="str">
        <x:v>2t7WUuJeko7_b72b7b78675f429a9f382a44e551cffc</x:v>
      </x:c>
    </x:row>
    <x:row r="20" ht="44" customHeight="1">
      <x:c r="A20" s="8" t="str">
        <x:v>2t7WUuJeko7</x:v>
      </x:c>
      <x:c r="B20" s="8" t="n">
        <x:v>16</x:v>
      </x:c>
      <x:c r="C20" s="8" t="str">
        <x:v>卫浴</x:v>
      </x:c>
      <x:c r="D20" s="8" t="str">
        <x:v>早期争议复核导出.user_type</x:v>
      </x:c>
      <x:c r="E20" s="8" t="str">
        <x:v>卫浴</x:v>
      </x:c>
      <x:c r="F20" s="8" t="str">
        <x:v>卫浴</x:v>
      </x:c>
      <x:c r="G20" s="8" t="n">
        <x:v>0</x:v>
      </x:c>
      <x:c r="H20" s="8" t="n">
        <x:v>0</x:v>
      </x:c>
      <x:c r="I20" s="8" t="n">
        <x:v>0</x:v>
      </x:c>
      <x:c r="J20" s="8" t="n">
        <x:v>19</x:v>
      </x:c>
      <x:c r="K20" s="8" t="str">
        <x:v>["G004"]</x:v>
      </x:c>
      <x:c r="L20" s="8" t="str">
        <x:v>https://github.com/Sparkling-Flames/3D_Manhattan_label/blob/844a4694627e1eacc6bfb48911897335e48ecc17/data/mp3d_layout/valid/img/2t7WUuJeko7_cc34e9176bfe47ebb23c58c165203134.png</x:v>
      </x:c>
      <x:c r="M20" s="8" t="str">
        <x:v>2t7WUuJeko7_cc34e9176bfe47ebb23c58c165203134</x:v>
      </x:c>
    </x:row>
    <x:row r="21" ht="44" customHeight="1">
      <x:c r="A21" s="8" t="str">
        <x:v>2t7WUuJeko7</x:v>
      </x:c>
      <x:c r="B21" s="8" t="n">
        <x:v>17</x:v>
      </x:c>
      <x:c r="C21" s="8" t="str">
        <x:v>厨房与用餐</x:v>
      </x:c>
      <x:c r="D21" s="8" t="str">
        <x:v>早期争议复核导出.user_type</x:v>
      </x:c>
      <x:c r="E21" s="8" t="str">
        <x:v>厨房与用餐</x:v>
      </x:c>
      <x:c r="F21" s="8" t="str">
        <x:v>厨房与用餐</x:v>
      </x:c>
      <x:c r="G21" s="8" t="n">
        <x:v>0</x:v>
      </x:c>
      <x:c r="H21" s="8" t="n">
        <x:v>0</x:v>
      </x:c>
      <x:c r="I21" s="8" t="n">
        <x:v>0</x:v>
      </x:c>
      <x:c r="J21" s="8" t="n">
        <x:v>19</x:v>
      </x:c>
      <x:c r="K21" s="8" t="str">
        <x:v>["G002"]</x:v>
      </x:c>
      <x:c r="L21" s="8" t="str">
        <x:v>https://github.com/Sparkling-Flames/3D_Manhattan_label/blob/844a4694627e1eacc6bfb48911897335e48ecc17/data/mp3d_layout/valid/img/2t7WUuJeko7_edc7b2c25f054ce8992ae3fb66e80881.png</x:v>
      </x:c>
      <x:c r="M21" s="8" t="str">
        <x:v>2t7WUuJeko7_edc7b2c25f054ce8992ae3fb66e80881</x:v>
      </x:c>
    </x:row>
    <x:row r="22" ht="44" customHeight="1">
      <x:c r="A22" s="8" t="str">
        <x:v>7y3sRwLe3Va</x:v>
      </x:c>
      <x:c r="B22" s="8" t="n">
        <x:v>1</x:v>
      </x:c>
      <x:c r="C22" s="8" t="str">
        <x:v>卫浴</x:v>
      </x:c>
      <x:c r="D22" s="8" t="str">
        <x:v>早期争议复核导出.user_type</x:v>
      </x:c>
      <x:c r="E22" s="8" t="str">
        <x:v>卫浴</x:v>
      </x:c>
      <x:c r="F22" s="8" t="str">
        <x:v>卫浴</x:v>
      </x:c>
      <x:c r="G22" s="8" t="n">
        <x:v>0</x:v>
      </x:c>
      <x:c r="H22" s="8" t="n">
        <x:v>0</x:v>
      </x:c>
      <x:c r="I22" s="8" t="n">
        <x:v>0</x:v>
      </x:c>
      <x:c r="J22" s="8" t="n">
        <x:v>19</x:v>
      </x:c>
      <x:c r="K22" s="8" t="str">
        <x:v>["G006", "G007"]</x:v>
      </x:c>
      <x:c r="L22" s="8" t="str">
        <x:v>https://github.com/Sparkling-Flames/3D_Manhattan_label/blob/844a4694627e1eacc6bfb48911897335e48ecc17/data/mp3d_layout/test/img/7y3sRwLe3Va_0e9fdd85e24a4a35b3dc1e8cb76ebb09.png</x:v>
      </x:c>
      <x:c r="M22" s="8" t="str">
        <x:v>7y3sRwLe3Va_0e9fdd85e24a4a35b3dc1e8cb76ebb09</x:v>
      </x:c>
    </x:row>
    <x:row r="23" ht="44" customHeight="1">
      <x:c r="A23" s="8" t="str">
        <x:v>7y3sRwLe3Va</x:v>
      </x:c>
      <x:c r="B23" s="8" t="n">
        <x:v>2</x:v>
      </x:c>
      <x:c r="C23" s="8" t="str">
        <x:v>储藏与家务辅助</x:v>
      </x:c>
      <x:c r="D23" s="8" t="str">
        <x:v>早期争议复核导出.user_type</x:v>
      </x:c>
      <x:c r="E23" s="8" t="str">
        <x:v>储藏与家务辅助</x:v>
      </x:c>
      <x:c r="F23" s="8" t="str"/>
      <x:c r="G23" s="8" t="n">
        <x:v>0</x:v>
      </x:c>
      <x:c r="H23" s="8" t="n">
        <x:v>0</x:v>
      </x:c>
      <x:c r="I23" s="8" t="n">
        <x:v>0</x:v>
      </x:c>
      <x:c r="J23" s="8" t="n">
        <x:v>19</x:v>
      </x:c>
      <x:c r="K23" s="8" t="str">
        <x:v>["G008"]</x:v>
      </x:c>
      <x:c r="L23" s="8" t="str">
        <x:v>https://github.com/Sparkling-Flames/3D_Manhattan_label/blob/844a4694627e1eacc6bfb48911897335e48ecc17/data/mp3d_layout/test/img/7y3sRwLe3Va_0eb1323894e041efa23d2f3e60efbe44.png</x:v>
      </x:c>
      <x:c r="M23" s="8" t="str">
        <x:v>7y3sRwLe3Va_0eb1323894e041efa23d2f3e60efbe44</x:v>
      </x:c>
    </x:row>
    <x:row r="24" ht="44" customHeight="1">
      <x:c r="A24" s="8" t="str">
        <x:v>7y3sRwLe3Va</x:v>
      </x:c>
      <x:c r="B24" s="8" t="n">
        <x:v>3</x:v>
      </x:c>
      <x:c r="C24" s="8" t="str">
        <x:v>开放复合空间</x:v>
      </x:c>
      <x:c r="D24" s="8" t="str">
        <x:v>后续41图亲审.current_classification.coarse_type</x:v>
      </x:c>
      <x:c r="E24" s="8" t="str">
        <x:v>厨房与用餐</x:v>
      </x:c>
      <x:c r="F24" s="8" t="str">
        <x:v>开放复合空间</x:v>
      </x:c>
      <x:c r="G24" s="8" t="n">
        <x:v>5</x:v>
      </x:c>
      <x:c r="H24" s="8" t="n">
        <x:v>4</x:v>
      </x:c>
      <x:c r="I24" s="8" t="n">
        <x:v>0</x:v>
      </x:c>
      <x:c r="J24" s="8" t="n">
        <x:v>15</x:v>
      </x:c>
      <x:c r="K24" s="8" t="str">
        <x:v>["G009", "G010", "G011"]</x:v>
      </x:c>
      <x:c r="L24" s="8" t="str">
        <x:v>https://github.com/Sparkling-Flames/3D_Manhattan_label/blob/844a4694627e1eacc6bfb48911897335e48ecc17/data/mp3d_layout/test/img/7y3sRwLe3Va_112edb40f34e470da3a5b04599e71211.png</x:v>
      </x:c>
      <x:c r="M24" s="8" t="str">
        <x:v>7y3sRwLe3Va_112edb40f34e470da3a5b04599e71211</x:v>
      </x:c>
    </x:row>
    <x:row r="25" ht="44" customHeight="1">
      <x:c r="A25" s="8" t="str">
        <x:v>7y3sRwLe3Va</x:v>
      </x:c>
      <x:c r="B25" s="8" t="n">
        <x:v>4</x:v>
      </x:c>
      <x:c r="C25" s="8" t="str">
        <x:v>待拆解(null)</x:v>
      </x:c>
      <x:c r="D25" s="8" t="str">
        <x:v>早期争议复核导出.user_type</x:v>
      </x:c>
      <x:c r="E25" s="8" t="str">
        <x:v>复合／待定</x:v>
      </x:c>
      <x:c r="F25" s="8" t="str">
        <x:v>通行与连接</x:v>
      </x:c>
      <x:c r="G25" s="8" t="n">
        <x:v>25</x:v>
      </x:c>
      <x:c r="H25" s="8" t="n">
        <x:v>19</x:v>
      </x:c>
      <x:c r="I25" s="8" t="n">
        <x:v>0</x:v>
      </x:c>
      <x:c r="J25" s="8" t="n">
        <x:v>0</x:v>
      </x:c>
      <x:c r="K25" s="8" t="str">
        <x:v>["G008", "G012"]</x:v>
      </x:c>
      <x:c r="L25" s="8" t="str">
        <x:v>https://github.com/Sparkling-Flames/3D_Manhattan_label/blob/844a4694627e1eacc6bfb48911897335e48ecc17/data/mp3d_layout/test/img/7y3sRwLe3Va_1410b021e1c14f529188eb026fbb369a.png</x:v>
      </x:c>
      <x:c r="M25" s="8" t="str">
        <x:v>7y3sRwLe3Va_1410b021e1c14f529188eb026fbb369a</x:v>
      </x:c>
    </x:row>
    <x:row r="26" ht="44" customHeight="1">
      <x:c r="A26" s="8" t="str">
        <x:v>7y3sRwLe3Va</x:v>
      </x:c>
      <x:c r="B26" s="8" t="n">
        <x:v>5</x:v>
      </x:c>
      <x:c r="C26" s="8" t="str">
        <x:v>卫浴</x:v>
      </x:c>
      <x:c r="D26" s="8" t="str">
        <x:v>早期争议复核导出.user_type</x:v>
      </x:c>
      <x:c r="E26" s="8" t="str">
        <x:v>卫浴</x:v>
      </x:c>
      <x:c r="F26" s="8" t="str">
        <x:v>卫浴</x:v>
      </x:c>
      <x:c r="G26" s="8" t="n">
        <x:v>0</x:v>
      </x:c>
      <x:c r="H26" s="8" t="n">
        <x:v>0</x:v>
      </x:c>
      <x:c r="I26" s="8" t="n">
        <x:v>0</x:v>
      </x:c>
      <x:c r="J26" s="8" t="n">
        <x:v>19</x:v>
      </x:c>
      <x:c r="K26" s="8" t="str">
        <x:v>["G006"]</x:v>
      </x:c>
      <x:c r="L26" s="8" t="str">
        <x:v>https://github.com/Sparkling-Flames/3D_Manhattan_label/blob/844a4694627e1eacc6bfb48911897335e48ecc17/data/mp3d_layout/test/img/7y3sRwLe3Va_155fac2d50764bf09feb6c8f33e8fb76.png</x:v>
      </x:c>
      <x:c r="M26" s="8" t="str">
        <x:v>7y3sRwLe3Va_155fac2d50764bf09feb6c8f33e8fb76</x:v>
      </x:c>
    </x:row>
    <x:row r="27" ht="44" customHeight="1">
      <x:c r="A27" s="8" t="str">
        <x:v>7y3sRwLe3Va</x:v>
      </x:c>
      <x:c r="B27" s="8" t="n">
        <x:v>6</x:v>
      </x:c>
      <x:c r="C27" s="8" t="str">
        <x:v>通行与连接</x:v>
      </x:c>
      <x:c r="D27" s="8" t="str">
        <x:v>早期争议复核导出.user_type</x:v>
      </x:c>
      <x:c r="E27" s="8" t="str">
        <x:v>通行与连接</x:v>
      </x:c>
      <x:c r="F27" s="8" t="str">
        <x:v>通行与连接</x:v>
      </x:c>
      <x:c r="G27" s="8" t="n">
        <x:v>0</x:v>
      </x:c>
      <x:c r="H27" s="8" t="n">
        <x:v>0</x:v>
      </x:c>
      <x:c r="I27" s="8" t="n">
        <x:v>0</x:v>
      </x:c>
      <x:c r="J27" s="8" t="n">
        <x:v>19</x:v>
      </x:c>
      <x:c r="K27" s="8" t="str">
        <x:v>["G013"]</x:v>
      </x:c>
      <x:c r="L27" s="8" t="str">
        <x:v>https://github.com/Sparkling-Flames/3D_Manhattan_label/blob/844a4694627e1eacc6bfb48911897335e48ecc17/data/mp3d_layout/test/img/7y3sRwLe3Va_1679b5de39e548d38ba240f2fd99cae9.png</x:v>
      </x:c>
      <x:c r="M27" s="8" t="str">
        <x:v>7y3sRwLe3Va_1679b5de39e548d38ba240f2fd99cae9</x:v>
      </x:c>
    </x:row>
    <x:row r="28" ht="44" customHeight="1">
      <x:c r="A28" s="8" t="str">
        <x:v>7y3sRwLe3Va</x:v>
      </x:c>
      <x:c r="B28" s="8" t="n">
        <x:v>7</x:v>
      </x:c>
      <x:c r="C28" s="8" t="str">
        <x:v>开放复合空间</x:v>
      </x:c>
      <x:c r="D28" s="8" t="str">
        <x:v>后续41图亲审.current_classification.coarse_type</x:v>
      </x:c>
      <x:c r="E28" s="8" t="str">
        <x:v>厨房与用餐</x:v>
      </x:c>
      <x:c r="F28" s="8" t="str">
        <x:v>开放复合空间</x:v>
      </x:c>
      <x:c r="G28" s="8" t="n">
        <x:v>0</x:v>
      </x:c>
      <x:c r="H28" s="8" t="n">
        <x:v>0</x:v>
      </x:c>
      <x:c r="I28" s="8" t="n">
        <x:v>0</x:v>
      </x:c>
      <x:c r="J28" s="8" t="n">
        <x:v>19</x:v>
      </x:c>
      <x:c r="K28" s="8" t="str">
        <x:v>["G009"]</x:v>
      </x:c>
      <x:c r="L28" s="8" t="str">
        <x:v>https://github.com/Sparkling-Flames/3D_Manhattan_label/blob/844a4694627e1eacc6bfb48911897335e48ecc17/data/mp3d_layout/test/img/7y3sRwLe3Va_1e7c16e6cb054c9fbbeb15160bc11f73.png</x:v>
      </x:c>
      <x:c r="M28" s="8" t="str">
        <x:v>7y3sRwLe3Va_1e7c16e6cb054c9fbbeb15160bc11f73</x:v>
      </x:c>
    </x:row>
    <x:row r="29" ht="44" customHeight="1">
      <x:c r="A29" s="8" t="str">
        <x:v>7y3sRwLe3Va</x:v>
      </x:c>
      <x:c r="B29" s="8" t="n">
        <x:v>8</x:v>
      </x:c>
      <x:c r="C29" s="8" t="str">
        <x:v>通行与连接</x:v>
      </x:c>
      <x:c r="D29" s="8" t="str">
        <x:v>早期争议复核导出.user_type</x:v>
      </x:c>
      <x:c r="E29" s="8" t="str">
        <x:v>通行与连接</x:v>
      </x:c>
      <x:c r="F29" s="8" t="str">
        <x:v>通行与连接</x:v>
      </x:c>
      <x:c r="G29" s="8" t="n">
        <x:v>25</x:v>
      </x:c>
      <x:c r="H29" s="8" t="n">
        <x:v>19</x:v>
      </x:c>
      <x:c r="I29" s="8" t="n">
        <x:v>0</x:v>
      </x:c>
      <x:c r="J29" s="8" t="n">
        <x:v>0</x:v>
      </x:c>
      <x:c r="K29" s="8" t="str">
        <x:v>["G014"]</x:v>
      </x:c>
      <x:c r="L29" s="8" t="str">
        <x:v>https://github.com/Sparkling-Flames/3D_Manhattan_label/blob/844a4694627e1eacc6bfb48911897335e48ecc17/data/mp3d_layout/test/img/7y3sRwLe3Va_4291cbfde1024467b1548934653f07ce.png</x:v>
      </x:c>
      <x:c r="M29" s="8" t="str">
        <x:v>7y3sRwLe3Va_4291cbfde1024467b1548934653f07ce</x:v>
      </x:c>
    </x:row>
    <x:row r="30" ht="44" customHeight="1">
      <x:c r="A30" s="8" t="str">
        <x:v>7y3sRwLe3Va</x:v>
      </x:c>
      <x:c r="B30" s="8" t="n">
        <x:v>9</x:v>
      </x:c>
      <x:c r="C30" s="8" t="str">
        <x:v>开放复合空间</x:v>
      </x:c>
      <x:c r="D30" s="8" t="str">
        <x:v>后续41图亲审.current_classification.coarse_type</x:v>
      </x:c>
      <x:c r="E30" s="8" t="str">
        <x:v>起居与休闲</x:v>
      </x:c>
      <x:c r="F30" s="8" t="str">
        <x:v>开放复合空间</x:v>
      </x:c>
      <x:c r="G30" s="8" t="n">
        <x:v>0</x:v>
      </x:c>
      <x:c r="H30" s="8" t="n">
        <x:v>0</x:v>
      </x:c>
      <x:c r="I30" s="8" t="n">
        <x:v>0</x:v>
      </x:c>
      <x:c r="J30" s="8" t="n">
        <x:v>19</x:v>
      </x:c>
      <x:c r="K30" s="8" t="str">
        <x:v>["G015"]</x:v>
      </x:c>
      <x:c r="L30" s="8" t="str">
        <x:v>https://github.com/Sparkling-Flames/3D_Manhattan_label/blob/844a4694627e1eacc6bfb48911897335e48ecc17/data/mp3d_layout/test/img/7y3sRwLe3Va_54e499c336a0490d8cf1684049f36040.png</x:v>
      </x:c>
      <x:c r="M30" s="8" t="str">
        <x:v>7y3sRwLe3Va_54e499c336a0490d8cf1684049f36040</x:v>
      </x:c>
    </x:row>
    <x:row r="31" ht="44" customHeight="1">
      <x:c r="A31" s="8" t="str">
        <x:v>7y3sRwLe3Va</x:v>
      </x:c>
      <x:c r="B31" s="8" t="n">
        <x:v>10</x:v>
      </x:c>
      <x:c r="C31" s="8" t="str">
        <x:v>开放复合空间</x:v>
      </x:c>
      <x:c r="D31" s="8" t="str">
        <x:v>后续41图亲审.current_classification.coarse_type</x:v>
      </x:c>
      <x:c r="E31" s="8" t="str">
        <x:v>储藏与家务辅助</x:v>
      </x:c>
      <x:c r="F31" s="8" t="str">
        <x:v>无法判断</x:v>
      </x:c>
      <x:c r="G31" s="8" t="n">
        <x:v>0</x:v>
      </x:c>
      <x:c r="H31" s="8" t="n">
        <x:v>0</x:v>
      </x:c>
      <x:c r="I31" s="8" t="n">
        <x:v>0</x:v>
      </x:c>
      <x:c r="J31" s="8" t="n">
        <x:v>19</x:v>
      </x:c>
      <x:c r="K31" s="8" t="str">
        <x:v>[]</x:v>
      </x:c>
      <x:c r="L31" s="8" t="str">
        <x:v>https://github.com/Sparkling-Flames/3D_Manhattan_label/blob/844a4694627e1eacc6bfb48911897335e48ecc17/data/mp3d_layout/test/img/7y3sRwLe3Va_5c39473b25b74307858764d1a2045b9e.png</x:v>
      </x:c>
      <x:c r="M31" s="8" t="str">
        <x:v>7y3sRwLe3Va_5c39473b25b74307858764d1a2045b9e</x:v>
      </x:c>
    </x:row>
    <x:row r="32" ht="44" customHeight="1">
      <x:c r="A32" s="8" t="str">
        <x:v>7y3sRwLe3Va</x:v>
      </x:c>
      <x:c r="B32" s="8" t="n">
        <x:v>11</x:v>
      </x:c>
      <x:c r="C32" s="8" t="str">
        <x:v>开放复合空间</x:v>
      </x:c>
      <x:c r="D32" s="8" t="str">
        <x:v>后续41图亲审.current_classification.coarse_type</x:v>
      </x:c>
      <x:c r="E32" s="8" t="str">
        <x:v>起居与休闲</x:v>
      </x:c>
      <x:c r="F32" s="8" t="str">
        <x:v>开放复合空间</x:v>
      </x:c>
      <x:c r="G32" s="8" t="n">
        <x:v>0</x:v>
      </x:c>
      <x:c r="H32" s="8" t="n">
        <x:v>0</x:v>
      </x:c>
      <x:c r="I32" s="8" t="n">
        <x:v>0</x:v>
      </x:c>
      <x:c r="J32" s="8" t="n">
        <x:v>19</x:v>
      </x:c>
      <x:c r="K32" s="8" t="str">
        <x:v>["G010", "G015"]</x:v>
      </x:c>
      <x:c r="L32" s="8" t="str">
        <x:v>https://github.com/Sparkling-Flames/3D_Manhattan_label/blob/844a4694627e1eacc6bfb48911897335e48ecc17/data/mp3d_layout/test/img/7y3sRwLe3Va_606f9842b8af48daa28f10df8b69d861.png</x:v>
      </x:c>
      <x:c r="M32" s="8" t="str">
        <x:v>7y3sRwLe3Va_606f9842b8af48daa28f10df8b69d861</x:v>
      </x:c>
    </x:row>
    <x:row r="33" ht="44" customHeight="1">
      <x:c r="A33" s="8" t="str">
        <x:v>7y3sRwLe3Va</x:v>
      </x:c>
      <x:c r="B33" s="8" t="n">
        <x:v>12</x:v>
      </x:c>
      <x:c r="C33" s="8" t="str">
        <x:v>通行与连接</x:v>
      </x:c>
      <x:c r="D33" s="8" t="str">
        <x:v>早期争议复核导出.user_type</x:v>
      </x:c>
      <x:c r="E33" s="8" t="str">
        <x:v>通行与连接</x:v>
      </x:c>
      <x:c r="F33" s="8" t="str">
        <x:v>通行与连接</x:v>
      </x:c>
      <x:c r="G33" s="8" t="n">
        <x:v>25</x:v>
      </x:c>
      <x:c r="H33" s="8" t="n">
        <x:v>19</x:v>
      </x:c>
      <x:c r="I33" s="8" t="n">
        <x:v>0</x:v>
      </x:c>
      <x:c r="J33" s="8" t="n">
        <x:v>0</x:v>
      </x:c>
      <x:c r="K33" s="8" t="str">
        <x:v>["G014"]</x:v>
      </x:c>
      <x:c r="L33" s="8" t="str">
        <x:v>https://github.com/Sparkling-Flames/3D_Manhattan_label/blob/844a4694627e1eacc6bfb48911897335e48ecc17/data/mp3d_layout/test/img/7y3sRwLe3Va_6376b741b50a4418b3dc3fde791c3c09.png</x:v>
      </x:c>
      <x:c r="M33" s="8" t="str">
        <x:v>7y3sRwLe3Va_6376b741b50a4418b3dc3fde791c3c09</x:v>
      </x:c>
    </x:row>
    <x:row r="34" ht="44" customHeight="1">
      <x:c r="A34" s="8" t="str">
        <x:v>7y3sRwLe3Va</x:v>
      </x:c>
      <x:c r="B34" s="8" t="n">
        <x:v>13</x:v>
      </x:c>
      <x:c r="C34" s="8" t="str">
        <x:v>通行与连接</x:v>
      </x:c>
      <x:c r="D34" s="8" t="str">
        <x:v>早期争议复核导出.user_type</x:v>
      </x:c>
      <x:c r="E34" s="8" t="str">
        <x:v>通行与连接</x:v>
      </x:c>
      <x:c r="F34" s="8" t="str">
        <x:v>通行与连接</x:v>
      </x:c>
      <x:c r="G34" s="8" t="n">
        <x:v>0</x:v>
      </x:c>
      <x:c r="H34" s="8" t="n">
        <x:v>0</x:v>
      </x:c>
      <x:c r="I34" s="8" t="n">
        <x:v>26</x:v>
      </x:c>
      <x:c r="J34" s="8" t="n">
        <x:v>0</x:v>
      </x:c>
      <x:c r="K34" s="8" t="str">
        <x:v>["G013"]</x:v>
      </x:c>
      <x:c r="L34" s="8" t="str">
        <x:v>https://github.com/Sparkling-Flames/3D_Manhattan_label/blob/844a4694627e1eacc6bfb48911897335e48ecc17/data/mp3d_layout/test/img/7y3sRwLe3Va_92fb09a83f8949619b9dc5bda2855456.png</x:v>
      </x:c>
      <x:c r="M34" s="8" t="str">
        <x:v>7y3sRwLe3Va_92fb09a83f8949619b9dc5bda2855456</x:v>
      </x:c>
    </x:row>
    <x:row r="35" ht="44" customHeight="1">
      <x:c r="A35" s="8" t="str">
        <x:v>7y3sRwLe3Va</x:v>
      </x:c>
      <x:c r="B35" s="8" t="n">
        <x:v>14</x:v>
      </x:c>
      <x:c r="C35" s="8" t="str">
        <x:v>待拆解(null)</x:v>
      </x:c>
      <x:c r="D35" s="8" t="str">
        <x:v>早期争议复核导出.user_type</x:v>
      </x:c>
      <x:c r="E35" s="8" t="str">
        <x:v>复合／待定</x:v>
      </x:c>
      <x:c r="F35" s="8" t="str">
        <x:v>通行与连接</x:v>
      </x:c>
      <x:c r="G35" s="8" t="n">
        <x:v>0</x:v>
      </x:c>
      <x:c r="H35" s="8" t="n">
        <x:v>0</x:v>
      </x:c>
      <x:c r="I35" s="8" t="n">
        <x:v>0</x:v>
      </x:c>
      <x:c r="J35" s="8" t="n">
        <x:v>19</x:v>
      </x:c>
      <x:c r="K35" s="8" t="str">
        <x:v>["G016"]</x:v>
      </x:c>
      <x:c r="L35" s="8" t="str">
        <x:v>https://github.com/Sparkling-Flames/3D_Manhattan_label/blob/844a4694627e1eacc6bfb48911897335e48ecc17/data/mp3d_layout/test/img/7y3sRwLe3Va_99b1210b63c94f9184a9f06032a2ea4a.png</x:v>
      </x:c>
      <x:c r="M35" s="8" t="str">
        <x:v>7y3sRwLe3Va_99b1210b63c94f9184a9f06032a2ea4a</x:v>
      </x:c>
    </x:row>
    <x:row r="36" ht="44" customHeight="1">
      <x:c r="A36" s="8" t="str">
        <x:v>7y3sRwLe3Va</x:v>
      </x:c>
      <x:c r="B36" s="8" t="n">
        <x:v>15</x:v>
      </x:c>
      <x:c r="C36" s="8" t="str">
        <x:v>待拆解(null)</x:v>
      </x:c>
      <x:c r="D36" s="8" t="str">
        <x:v>早期争议复核导出.user_type</x:v>
      </x:c>
      <x:c r="E36" s="8" t="str">
        <x:v>复合／待定</x:v>
      </x:c>
      <x:c r="F36" s="8" t="str">
        <x:v>无法判断</x:v>
      </x:c>
      <x:c r="G36" s="8" t="n">
        <x:v>0</x:v>
      </x:c>
      <x:c r="H36" s="8" t="n">
        <x:v>0</x:v>
      </x:c>
      <x:c r="I36" s="8" t="n">
        <x:v>0</x:v>
      </x:c>
      <x:c r="J36" s="8" t="n">
        <x:v>19</x:v>
      </x:c>
      <x:c r="K36" s="8" t="str">
        <x:v>["G012"]</x:v>
      </x:c>
      <x:c r="L36" s="8" t="str">
        <x:v>https://github.com/Sparkling-Flames/3D_Manhattan_label/blob/844a4694627e1eacc6bfb48911897335e48ecc17/data/mp3d_layout/test/img/7y3sRwLe3Va_9b72664399a34e4f9dbe470571c73187.png</x:v>
      </x:c>
      <x:c r="M36" s="8" t="str">
        <x:v>7y3sRwLe3Va_9b72664399a34e4f9dbe470571c73187</x:v>
      </x:c>
    </x:row>
    <x:row r="37" ht="44" customHeight="1">
      <x:c r="A37" s="8" t="str">
        <x:v>7y3sRwLe3Va</x:v>
      </x:c>
      <x:c r="B37" s="8" t="n">
        <x:v>16</x:v>
      </x:c>
      <x:c r="C37" s="8" t="str">
        <x:v>开放复合空间</x:v>
      </x:c>
      <x:c r="D37" s="8" t="str">
        <x:v>后续41图亲审.current_classification.coarse_type</x:v>
      </x:c>
      <x:c r="E37" s="8" t="str">
        <x:v>起居与休闲</x:v>
      </x:c>
      <x:c r="F37" s="8" t="str">
        <x:v>开放复合空间</x:v>
      </x:c>
      <x:c r="G37" s="8" t="n">
        <x:v>0</x:v>
      </x:c>
      <x:c r="H37" s="8" t="n">
        <x:v>0</x:v>
      </x:c>
      <x:c r="I37" s="8" t="n">
        <x:v>0</x:v>
      </x:c>
      <x:c r="J37" s="8" t="n">
        <x:v>19</x:v>
      </x:c>
      <x:c r="K37" s="8" t="str">
        <x:v>["G015"]</x:v>
      </x:c>
      <x:c r="L37" s="8" t="str">
        <x:v>https://github.com/Sparkling-Flames/3D_Manhattan_label/blob/844a4694627e1eacc6bfb48911897335e48ecc17/data/mp3d_layout/test/img/7y3sRwLe3Va_9bbf903d50da4ffd9e5d1fb7c9f4d69b.png</x:v>
      </x:c>
      <x:c r="M37" s="8" t="str">
        <x:v>7y3sRwLe3Va_9bbf903d50da4ffd9e5d1fb7c9f4d69b</x:v>
      </x:c>
    </x:row>
    <x:row r="38" ht="44" customHeight="1">
      <x:c r="A38" s="8" t="str">
        <x:v>7y3sRwLe3Va</x:v>
      </x:c>
      <x:c r="B38" s="8" t="n">
        <x:v>17</x:v>
      </x:c>
      <x:c r="C38" s="8" t="str">
        <x:v>通行与连接</x:v>
      </x:c>
      <x:c r="D38" s="8" t="str">
        <x:v>早期争议复核导出.user_type</x:v>
      </x:c>
      <x:c r="E38" s="8" t="str">
        <x:v>通行与连接</x:v>
      </x:c>
      <x:c r="F38" s="8" t="str">
        <x:v>通行与连接</x:v>
      </x:c>
      <x:c r="G38" s="8" t="n">
        <x:v>5</x:v>
      </x:c>
      <x:c r="H38" s="8" t="n">
        <x:v>4</x:v>
      </x:c>
      <x:c r="I38" s="8" t="n">
        <x:v>0</x:v>
      </x:c>
      <x:c r="J38" s="8" t="n">
        <x:v>15</x:v>
      </x:c>
      <x:c r="K38" s="8" t="str">
        <x:v>["G014"]</x:v>
      </x:c>
      <x:c r="L38" s="8" t="str">
        <x:v>https://github.com/Sparkling-Flames/3D_Manhattan_label/blob/844a4694627e1eacc6bfb48911897335e48ecc17/data/mp3d_layout/test/img/7y3sRwLe3Va_9e4c92fd7eb74504baecf55a3264716e.png</x:v>
      </x:c>
      <x:c r="M38" s="8" t="str">
        <x:v>7y3sRwLe3Va_9e4c92fd7eb74504baecf55a3264716e</x:v>
      </x:c>
    </x:row>
    <x:row r="39" ht="44" customHeight="1">
      <x:c r="A39" s="8" t="str">
        <x:v>7y3sRwLe3Va</x:v>
      </x:c>
      <x:c r="B39" s="8" t="n">
        <x:v>18</x:v>
      </x:c>
      <x:c r="C39" s="8" t="str">
        <x:v>开放复合空间</x:v>
      </x:c>
      <x:c r="D39" s="8" t="str">
        <x:v>后续41图亲审.current_classification.coarse_type</x:v>
      </x:c>
      <x:c r="E39" s="8" t="str">
        <x:v>厨房与用餐</x:v>
      </x:c>
      <x:c r="F39" s="8" t="str">
        <x:v>开放复合空间</x:v>
      </x:c>
      <x:c r="G39" s="8" t="n">
        <x:v>6</x:v>
      </x:c>
      <x:c r="H39" s="8" t="n">
        <x:v>5</x:v>
      </x:c>
      <x:c r="I39" s="8" t="n">
        <x:v>0</x:v>
      </x:c>
      <x:c r="J39" s="8" t="n">
        <x:v>14</x:v>
      </x:c>
      <x:c r="K39" s="8" t="str">
        <x:v>["G011"]</x:v>
      </x:c>
      <x:c r="L39" s="8" t="str">
        <x:v>https://github.com/Sparkling-Flames/3D_Manhattan_label/blob/844a4694627e1eacc6bfb48911897335e48ecc17/data/mp3d_layout/test/img/7y3sRwLe3Va_a775c7668ca9419daaf506e76851821e.png</x:v>
      </x:c>
      <x:c r="M39" s="8" t="str">
        <x:v>7y3sRwLe3Va_a775c7668ca9419daaf506e76851821e</x:v>
      </x:c>
    </x:row>
    <x:row r="40" ht="44" customHeight="1">
      <x:c r="A40" s="8" t="str">
        <x:v>7y3sRwLe3Va</x:v>
      </x:c>
      <x:c r="B40" s="8" t="n">
        <x:v>19</x:v>
      </x:c>
      <x:c r="C40" s="8" t="str">
        <x:v>开放复合空间</x:v>
      </x:c>
      <x:c r="D40" s="8" t="str">
        <x:v>后续41图亲审.current_classification.coarse_type</x:v>
      </x:c>
      <x:c r="E40" s="8" t="str">
        <x:v>起居与休闲</x:v>
      </x:c>
      <x:c r="F40" s="8" t="str">
        <x:v>开放复合空间</x:v>
      </x:c>
      <x:c r="G40" s="8" t="n">
        <x:v>6</x:v>
      </x:c>
      <x:c r="H40" s="8" t="n">
        <x:v>4</x:v>
      </x:c>
      <x:c r="I40" s="8" t="n">
        <x:v>4</x:v>
      </x:c>
      <x:c r="J40" s="8" t="n">
        <x:v>12</x:v>
      </x:c>
      <x:c r="K40" s="8" t="str">
        <x:v>["G015"]</x:v>
      </x:c>
      <x:c r="L40" s="8" t="str">
        <x:v>https://github.com/Sparkling-Flames/3D_Manhattan_label/blob/844a4694627e1eacc6bfb48911897335e48ecc17/data/mp3d_layout/test/img/7y3sRwLe3Va_ad77d6eeca5b492b8fe3317177f4f03f.png</x:v>
      </x:c>
      <x:c r="M40" s="8" t="str">
        <x:v>7y3sRwLe3Va_ad77d6eeca5b492b8fe3317177f4f03f</x:v>
      </x:c>
    </x:row>
    <x:row r="41" ht="44" customHeight="1">
      <x:c r="A41" s="8" t="str">
        <x:v>7y3sRwLe3Va</x:v>
      </x:c>
      <x:c r="B41" s="8" t="n">
        <x:v>20</x:v>
      </x:c>
      <x:c r="C41" s="8" t="str">
        <x:v>储藏与家务辅助</x:v>
      </x:c>
      <x:c r="D41" s="8" t="str">
        <x:v>早期争议复核导出.user_type</x:v>
      </x:c>
      <x:c r="E41" s="8" t="str">
        <x:v>储藏与家务辅助</x:v>
      </x:c>
      <x:c r="F41" s="8" t="str">
        <x:v>通行与连接</x:v>
      </x:c>
      <x:c r="G41" s="8" t="n">
        <x:v>0</x:v>
      </x:c>
      <x:c r="H41" s="8" t="n">
        <x:v>0</x:v>
      </x:c>
      <x:c r="I41" s="8" t="n">
        <x:v>0</x:v>
      </x:c>
      <x:c r="J41" s="8" t="n">
        <x:v>19</x:v>
      </x:c>
      <x:c r="K41" s="8" t="str">
        <x:v>[]</x:v>
      </x:c>
      <x:c r="L41" s="8" t="str">
        <x:v>https://github.com/Sparkling-Flames/3D_Manhattan_label/blob/844a4694627e1eacc6bfb48911897335e48ecc17/data/mp3d_layout/test/img/7y3sRwLe3Va_af5f1942b4374015823bd32e31b31c64.png</x:v>
      </x:c>
      <x:c r="M41" s="8" t="str">
        <x:v>7y3sRwLe3Va_af5f1942b4374015823bd32e31b31c64</x:v>
      </x:c>
    </x:row>
    <x:row r="42" ht="44" customHeight="1">
      <x:c r="A42" s="8" t="str">
        <x:v>7y3sRwLe3Va</x:v>
      </x:c>
      <x:c r="B42" s="8" t="n">
        <x:v>21</x:v>
      </x:c>
      <x:c r="C42" s="8" t="str">
        <x:v>通行与连接</x:v>
      </x:c>
      <x:c r="D42" s="8" t="str">
        <x:v>早期争议复核导出.user_type</x:v>
      </x:c>
      <x:c r="E42" s="8" t="str">
        <x:v>通行与连接</x:v>
      </x:c>
      <x:c r="F42" s="8" t="str">
        <x:v>卧室</x:v>
      </x:c>
      <x:c r="G42" s="8" t="n">
        <x:v>5</x:v>
      </x:c>
      <x:c r="H42" s="8" t="n">
        <x:v>5</x:v>
      </x:c>
      <x:c r="I42" s="8" t="n">
        <x:v>4</x:v>
      </x:c>
      <x:c r="J42" s="8" t="n">
        <x:v>10</x:v>
      </x:c>
      <x:c r="K42" s="8" t="str">
        <x:v>["G017"]</x:v>
      </x:c>
      <x:c r="L42" s="8" t="str">
        <x:v>https://github.com/Sparkling-Flames/3D_Manhattan_label/blob/844a4694627e1eacc6bfb48911897335e48ecc17/data/mp3d_layout/test/img/7y3sRwLe3Va_b47475370e824b9e923a4a96bc98e1e3.png</x:v>
      </x:c>
      <x:c r="M42" s="8" t="str">
        <x:v>7y3sRwLe3Va_b47475370e824b9e923a4a96bc98e1e3</x:v>
      </x:c>
    </x:row>
    <x:row r="43" ht="44" customHeight="1">
      <x:c r="A43" s="8" t="str">
        <x:v>7y3sRwLe3Va</x:v>
      </x:c>
      <x:c r="B43" s="8" t="n">
        <x:v>22</x:v>
      </x:c>
      <x:c r="C43" s="8" t="str">
        <x:v>通行与连接</x:v>
      </x:c>
      <x:c r="D43" s="8" t="str">
        <x:v>早期争议复核导出.user_type</x:v>
      </x:c>
      <x:c r="E43" s="8" t="str">
        <x:v>通行与连接</x:v>
      </x:c>
      <x:c r="F43" s="8" t="str">
        <x:v>通行与连接</x:v>
      </x:c>
      <x:c r="G43" s="8" t="n">
        <x:v>5</x:v>
      </x:c>
      <x:c r="H43" s="8" t="n">
        <x:v>4</x:v>
      </x:c>
      <x:c r="I43" s="8" t="n">
        <x:v>0</x:v>
      </x:c>
      <x:c r="J43" s="8" t="n">
        <x:v>15</x:v>
      </x:c>
      <x:c r="K43" s="8" t="str">
        <x:v>["G014"]</x:v>
      </x:c>
      <x:c r="L43" s="8" t="str">
        <x:v>https://github.com/Sparkling-Flames/3D_Manhattan_label/blob/844a4694627e1eacc6bfb48911897335e48ecc17/data/mp3d_layout/test/img/7y3sRwLe3Va_b564162b2c7d4033bfe6ef3dfb959c9e.png</x:v>
      </x:c>
      <x:c r="M43" s="8" t="str">
        <x:v>7y3sRwLe3Va_b564162b2c7d4033bfe6ef3dfb959c9e</x:v>
      </x:c>
    </x:row>
    <x:row r="44" ht="44" customHeight="1">
      <x:c r="A44" s="8" t="str">
        <x:v>7y3sRwLe3Va</x:v>
      </x:c>
      <x:c r="B44" s="8" t="n">
        <x:v>23</x:v>
      </x:c>
      <x:c r="C44" s="8" t="str">
        <x:v>卫浴</x:v>
      </x:c>
      <x:c r="D44" s="8" t="str">
        <x:v>早期争议复核导出.user_type</x:v>
      </x:c>
      <x:c r="E44" s="8" t="str">
        <x:v>卫浴</x:v>
      </x:c>
      <x:c r="F44" s="8" t="str">
        <x:v>卫浴</x:v>
      </x:c>
      <x:c r="G44" s="8" t="n">
        <x:v>5</x:v>
      </x:c>
      <x:c r="H44" s="8" t="n">
        <x:v>5</x:v>
      </x:c>
      <x:c r="I44" s="8" t="n">
        <x:v>0</x:v>
      </x:c>
      <x:c r="J44" s="8" t="n">
        <x:v>14</x:v>
      </x:c>
      <x:c r="K44" s="8" t="str">
        <x:v>["G007"]</x:v>
      </x:c>
      <x:c r="L44" s="8" t="str">
        <x:v>https://github.com/Sparkling-Flames/3D_Manhattan_label/blob/844a4694627e1eacc6bfb48911897335e48ecc17/data/mp3d_layout/test/img/7y3sRwLe3Va_bbcc19afdad742eba89290ad2b5dbf6b.png</x:v>
      </x:c>
      <x:c r="M44" s="8" t="str">
        <x:v>7y3sRwLe3Va_bbcc19afdad742eba89290ad2b5dbf6b</x:v>
      </x:c>
    </x:row>
    <x:row r="45" ht="44" customHeight="1">
      <x:c r="A45" s="8" t="str">
        <x:v>7y3sRwLe3Va</x:v>
      </x:c>
      <x:c r="B45" s="8" t="n">
        <x:v>24</x:v>
      </x:c>
      <x:c r="C45" s="8" t="str">
        <x:v>储藏与家务辅助</x:v>
      </x:c>
      <x:c r="D45" s="8" t="str">
        <x:v>早期争议复核导出.user_type</x:v>
      </x:c>
      <x:c r="E45" s="8" t="str">
        <x:v>储藏与家务辅助</x:v>
      </x:c>
      <x:c r="F45" s="8" t="str">
        <x:v>储藏与家务辅助</x:v>
      </x:c>
      <x:c r="G45" s="8" t="n">
        <x:v>0</x:v>
      </x:c>
      <x:c r="H45" s="8" t="n">
        <x:v>0</x:v>
      </x:c>
      <x:c r="I45" s="8" t="n">
        <x:v>0</x:v>
      </x:c>
      <x:c r="J45" s="8" t="n">
        <x:v>19</x:v>
      </x:c>
      <x:c r="K45" s="8" t="str">
        <x:v>["G017"]</x:v>
      </x:c>
      <x:c r="L45" s="8" t="str">
        <x:v>https://github.com/Sparkling-Flames/3D_Manhattan_label/blob/844a4694627e1eacc6bfb48911897335e48ecc17/data/mp3d_layout/test/img/7y3sRwLe3Va_dd83fb40a2e14ac99de9fe9bcfaf44df.png</x:v>
      </x:c>
      <x:c r="M45" s="8" t="str">
        <x:v>7y3sRwLe3Va_dd83fb40a2e14ac99de9fe9bcfaf44df</x:v>
      </x:c>
    </x:row>
    <x:row r="46" ht="44" customHeight="1">
      <x:c r="A46" s="8" t="str">
        <x:v>7y3sRwLe3Va</x:v>
      </x:c>
      <x:c r="B46" s="8" t="n">
        <x:v>25</x:v>
      </x:c>
      <x:c r="C46" s="8" t="str">
        <x:v>通行与连接</x:v>
      </x:c>
      <x:c r="D46" s="8" t="str">
        <x:v>早期争议复核导出.user_type</x:v>
      </x:c>
      <x:c r="E46" s="8" t="str">
        <x:v>通行与连接</x:v>
      </x:c>
      <x:c r="F46" s="8" t="str">
        <x:v>卧室</x:v>
      </x:c>
      <x:c r="G46" s="8" t="n">
        <x:v>0</x:v>
      </x:c>
      <x:c r="H46" s="8" t="n">
        <x:v>0</x:v>
      </x:c>
      <x:c r="I46" s="8" t="n">
        <x:v>0</x:v>
      </x:c>
      <x:c r="J46" s="8" t="n">
        <x:v>19</x:v>
      </x:c>
      <x:c r="K46" s="8" t="str">
        <x:v>["G017"]</x:v>
      </x:c>
      <x:c r="L46" s="8" t="str">
        <x:v>https://github.com/Sparkling-Flames/3D_Manhattan_label/blob/844a4694627e1eacc6bfb48911897335e48ecc17/data/mp3d_layout/test/img/7y3sRwLe3Va_dfe1f8e8b58d4da49f0c73516e7a4b67.png</x:v>
      </x:c>
      <x:c r="M46" s="8" t="str">
        <x:v>7y3sRwLe3Va_dfe1f8e8b58d4da49f0c73516e7a4b67</x:v>
      </x:c>
    </x:row>
    <x:row r="47" ht="44" customHeight="1">
      <x:c r="A47" s="8" t="str">
        <x:v>7y3sRwLe3Va</x:v>
      </x:c>
      <x:c r="B47" s="8" t="n">
        <x:v>26</x:v>
      </x:c>
      <x:c r="C47" s="8" t="str">
        <x:v>待拆解(null)</x:v>
      </x:c>
      <x:c r="D47" s="8" t="str">
        <x:v>早期争议复核导出.user_type</x:v>
      </x:c>
      <x:c r="E47" s="8" t="str">
        <x:v>复合／待定</x:v>
      </x:c>
      <x:c r="F47" s="8" t="str">
        <x:v>通行与连接</x:v>
      </x:c>
      <x:c r="G47" s="8" t="n">
        <x:v>5</x:v>
      </x:c>
      <x:c r="H47" s="8" t="n">
        <x:v>5</x:v>
      </x:c>
      <x:c r="I47" s="8" t="n">
        <x:v>0</x:v>
      </x:c>
      <x:c r="J47" s="8" t="n">
        <x:v>14</x:v>
      </x:c>
      <x:c r="K47" s="8" t="str">
        <x:v>["G016"]</x:v>
      </x:c>
      <x:c r="L47" s="8" t="str">
        <x:v>https://github.com/Sparkling-Flames/3D_Manhattan_label/blob/844a4694627e1eacc6bfb48911897335e48ecc17/data/mp3d_layout/test/img/7y3sRwLe3Va_fdab6422162e49db822a37178ab70481.png</x:v>
      </x:c>
      <x:c r="M47" s="8" t="str">
        <x:v>7y3sRwLe3Va_fdab6422162e49db822a37178ab70481</x:v>
      </x:c>
    </x:row>
    <x:row r="48" ht="44" customHeight="1">
      <x:c r="A48" s="8" t="str">
        <x:v>B6ByNegPMKs</x:v>
      </x:c>
      <x:c r="B48" s="8" t="n">
        <x:v>1</x:v>
      </x:c>
      <x:c r="C48" s="8" t="str">
        <x:v>通行与连接</x:v>
      </x:c>
      <x:c r="D48" s="8" t="str">
        <x:v>早期争议复核导出.user_type</x:v>
      </x:c>
      <x:c r="E48" s="8" t="str">
        <x:v>通行与连接</x:v>
      </x:c>
      <x:c r="F48" s="8" t="str">
        <x:v>通行与连接</x:v>
      </x:c>
      <x:c r="G48" s="8" t="n">
        <x:v>0</x:v>
      </x:c>
      <x:c r="H48" s="8" t="n">
        <x:v>0</x:v>
      </x:c>
      <x:c r="I48" s="8" t="n">
        <x:v>0</x:v>
      </x:c>
      <x:c r="J48" s="8" t="n">
        <x:v>19</x:v>
      </x:c>
      <x:c r="K48" s="8" t="str">
        <x:v>[]</x:v>
      </x:c>
      <x:c r="L48" s="8" t="str">
        <x:v>https://github.com/Sparkling-Flames/3D_Manhattan_label/blob/844a4694627e1eacc6bfb48911897335e48ecc17/data/mp3d_layout/test/img/B6ByNegPMKs_02e18ec4d4f94d2eb4407346c822dee2.png</x:v>
      </x:c>
      <x:c r="M48" s="8" t="str">
        <x:v>B6ByNegPMKs_02e18ec4d4f94d2eb4407346c822dee2</x:v>
      </x:c>
    </x:row>
    <x:row r="49" ht="44" customHeight="1">
      <x:c r="A49" s="8" t="str">
        <x:v>B6ByNegPMKs</x:v>
      </x:c>
      <x:c r="B49" s="8" t="n">
        <x:v>2</x:v>
      </x:c>
      <x:c r="C49" s="8" t="str">
        <x:v>通行与连接</x:v>
      </x:c>
      <x:c r="D49" s="8" t="str">
        <x:v>早期争议复核导出.user_type</x:v>
      </x:c>
      <x:c r="E49" s="8" t="str">
        <x:v>通行与连接</x:v>
      </x:c>
      <x:c r="F49" s="8" t="str">
        <x:v>通行与连接</x:v>
      </x:c>
      <x:c r="G49" s="8" t="n">
        <x:v>0</x:v>
      </x:c>
      <x:c r="H49" s="8" t="n">
        <x:v>0</x:v>
      </x:c>
      <x:c r="I49" s="8" t="n">
        <x:v>0</x:v>
      </x:c>
      <x:c r="J49" s="8" t="n">
        <x:v>19</x:v>
      </x:c>
      <x:c r="K49" s="8" t="str">
        <x:v>["G018"]</x:v>
      </x:c>
      <x:c r="L49" s="8" t="str">
        <x:v>https://github.com/Sparkling-Flames/3D_Manhattan_label/blob/844a4694627e1eacc6bfb48911897335e48ecc17/data/mp3d_layout/test/img/B6ByNegPMKs_0e5ba44387774783903fea2a1b8f53dd.png</x:v>
      </x:c>
      <x:c r="M49" s="8" t="str">
        <x:v>B6ByNegPMKs_0e5ba44387774783903fea2a1b8f53dd</x:v>
      </x:c>
    </x:row>
    <x:row r="50" ht="44" customHeight="1">
      <x:c r="A50" s="8" t="str">
        <x:v>B6ByNegPMKs</x:v>
      </x:c>
      <x:c r="B50" s="8" t="n">
        <x:v>3</x:v>
      </x:c>
      <x:c r="C50" s="8" t="str">
        <x:v>通行与连接</x:v>
      </x:c>
      <x:c r="D50" s="8" t="str">
        <x:v>早期争议复核导出.user_type</x:v>
      </x:c>
      <x:c r="E50" s="8" t="str">
        <x:v>通行与连接</x:v>
      </x:c>
      <x:c r="F50" s="8" t="str">
        <x:v>通行与连接</x:v>
      </x:c>
      <x:c r="G50" s="8" t="n">
        <x:v>0</x:v>
      </x:c>
      <x:c r="H50" s="8" t="n">
        <x:v>0</x:v>
      </x:c>
      <x:c r="I50" s="8" t="n">
        <x:v>0</x:v>
      </x:c>
      <x:c r="J50" s="8" t="n">
        <x:v>19</x:v>
      </x:c>
      <x:c r="K50" s="8" t="str">
        <x:v>["G019"]</x:v>
      </x:c>
      <x:c r="L50" s="8" t="str">
        <x:v>https://github.com/Sparkling-Flames/3D_Manhattan_label/blob/844a4694627e1eacc6bfb48911897335e48ecc17/data/mp3d_layout/test/img/B6ByNegPMKs_0f8e559bf8d4427ba275e63aba46e3e5.png</x:v>
      </x:c>
      <x:c r="M50" s="8" t="str">
        <x:v>B6ByNegPMKs_0f8e559bf8d4427ba275e63aba46e3e5</x:v>
      </x:c>
    </x:row>
    <x:row r="51" ht="44" customHeight="1">
      <x:c r="A51" s="8" t="str">
        <x:v>B6ByNegPMKs</x:v>
      </x:c>
      <x:c r="B51" s="8" t="n">
        <x:v>4</x:v>
      </x:c>
      <x:c r="C51" s="8" t="str">
        <x:v>工作与学习</x:v>
      </x:c>
      <x:c r="D51" s="8" t="str">
        <x:v>早期争议复核导出.user_type</x:v>
      </x:c>
      <x:c r="E51" s="8" t="str">
        <x:v>工作与学习</x:v>
      </x:c>
      <x:c r="F51" s="8" t="str">
        <x:v>工作与学习</x:v>
      </x:c>
      <x:c r="G51" s="8" t="n">
        <x:v>0</x:v>
      </x:c>
      <x:c r="H51" s="8" t="n">
        <x:v>0</x:v>
      </x:c>
      <x:c r="I51" s="8" t="n">
        <x:v>0</x:v>
      </x:c>
      <x:c r="J51" s="8" t="n">
        <x:v>19</x:v>
      </x:c>
      <x:c r="K51" s="8" t="str">
        <x:v>["G020"]</x:v>
      </x:c>
      <x:c r="L51" s="8" t="str">
        <x:v>https://github.com/Sparkling-Flames/3D_Manhattan_label/blob/844a4694627e1eacc6bfb48911897335e48ecc17/data/mp3d_layout/test/img/B6ByNegPMKs_1bf33cdff9a54d65a9be6889eb912fb5.png</x:v>
      </x:c>
      <x:c r="M51" s="8" t="str">
        <x:v>B6ByNegPMKs_1bf33cdff9a54d65a9be6889eb912fb5</x:v>
      </x:c>
    </x:row>
    <x:row r="52" ht="44" customHeight="1">
      <x:c r="A52" s="8" t="str">
        <x:v>B6ByNegPMKs</x:v>
      </x:c>
      <x:c r="B52" s="8" t="n">
        <x:v>5</x:v>
      </x:c>
      <x:c r="C52" s="8" t="str">
        <x:v>工作与学习</x:v>
      </x:c>
      <x:c r="D52" s="8" t="str">
        <x:v>早期争议复核导出.user_type</x:v>
      </x:c>
      <x:c r="E52" s="8" t="str">
        <x:v>工作与学习</x:v>
      </x:c>
      <x:c r="F52" s="8" t="str">
        <x:v>工作与学习</x:v>
      </x:c>
      <x:c r="G52" s="8" t="n">
        <x:v>0</x:v>
      </x:c>
      <x:c r="H52" s="8" t="n">
        <x:v>0</x:v>
      </x:c>
      <x:c r="I52" s="8" t="n">
        <x:v>0</x:v>
      </x:c>
      <x:c r="J52" s="8" t="n">
        <x:v>19</x:v>
      </x:c>
      <x:c r="K52" s="8" t="str">
        <x:v>["G021", "G022", "G023"]</x:v>
      </x:c>
      <x:c r="L52" s="8" t="str">
        <x:v>https://github.com/Sparkling-Flames/3D_Manhattan_label/blob/844a4694627e1eacc6bfb48911897335e48ecc17/data/mp3d_layout/test/img/B6ByNegPMKs_1c21814e7e7447d5b650afdff65c287e.png</x:v>
      </x:c>
      <x:c r="M52" s="8" t="str">
        <x:v>B6ByNegPMKs_1c21814e7e7447d5b650afdff65c287e</x:v>
      </x:c>
    </x:row>
    <x:row r="53" ht="44" customHeight="1">
      <x:c r="A53" s="8" t="str">
        <x:v>B6ByNegPMKs</x:v>
      </x:c>
      <x:c r="B53" s="8" t="n">
        <x:v>6</x:v>
      </x:c>
      <x:c r="C53" s="8" t="str">
        <x:v>起居与休闲</x:v>
      </x:c>
      <x:c r="D53" s="8" t="str">
        <x:v>早期争议复核导出.user_type</x:v>
      </x:c>
      <x:c r="E53" s="8" t="str">
        <x:v>起居与休闲</x:v>
      </x:c>
      <x:c r="F53" s="8" t="str">
        <x:v>工作与学习</x:v>
      </x:c>
      <x:c r="G53" s="8" t="n">
        <x:v>0</x:v>
      </x:c>
      <x:c r="H53" s="8" t="n">
        <x:v>0</x:v>
      </x:c>
      <x:c r="I53" s="8" t="n">
        <x:v>0</x:v>
      </x:c>
      <x:c r="J53" s="8" t="n">
        <x:v>19</x:v>
      </x:c>
      <x:c r="K53" s="8" t="str">
        <x:v>["G024"]</x:v>
      </x:c>
      <x:c r="L53" s="8" t="str">
        <x:v>https://github.com/Sparkling-Flames/3D_Manhattan_label/blob/844a4694627e1eacc6bfb48911897335e48ecc17/data/mp3d_layout/test/img/B6ByNegPMKs_29138c57da06404d8a009f0deb20537f.png</x:v>
      </x:c>
      <x:c r="M53" s="8" t="str">
        <x:v>B6ByNegPMKs_29138c57da06404d8a009f0deb20537f</x:v>
      </x:c>
    </x:row>
    <x:row r="54" ht="44" customHeight="1">
      <x:c r="A54" s="8" t="str">
        <x:v>B6ByNegPMKs</x:v>
      </x:c>
      <x:c r="B54" s="8" t="n">
        <x:v>7</x:v>
      </x:c>
      <x:c r="C54" s="8" t="str">
        <x:v>通行与连接</x:v>
      </x:c>
      <x:c r="D54" s="8" t="str">
        <x:v>早期争议复核导出.user_type</x:v>
      </x:c>
      <x:c r="E54" s="8" t="str">
        <x:v>通行与连接</x:v>
      </x:c>
      <x:c r="F54" s="8" t="str">
        <x:v>通行与连接</x:v>
      </x:c>
      <x:c r="G54" s="8" t="n">
        <x:v>0</x:v>
      </x:c>
      <x:c r="H54" s="8" t="n">
        <x:v>0</x:v>
      </x:c>
      <x:c r="I54" s="8" t="n">
        <x:v>0</x:v>
      </x:c>
      <x:c r="J54" s="8" t="n">
        <x:v>19</x:v>
      </x:c>
      <x:c r="K54" s="8" t="str">
        <x:v>["G018"]</x:v>
      </x:c>
      <x:c r="L54" s="8" t="str">
        <x:v>https://github.com/Sparkling-Flames/3D_Manhattan_label/blob/844a4694627e1eacc6bfb48911897335e48ecc17/data/mp3d_layout/test/img/B6ByNegPMKs_2a1bc1a10d7b45ad902e09cd71767fd9.png</x:v>
      </x:c>
      <x:c r="M54" s="8" t="str">
        <x:v>B6ByNegPMKs_2a1bc1a10d7b45ad902e09cd71767fd9</x:v>
      </x:c>
    </x:row>
    <x:row r="55" ht="44" customHeight="1">
      <x:c r="A55" s="8" t="str">
        <x:v>B6ByNegPMKs</x:v>
      </x:c>
      <x:c r="B55" s="8" t="n">
        <x:v>8</x:v>
      </x:c>
      <x:c r="C55" s="8" t="str">
        <x:v>工作与学习</x:v>
      </x:c>
      <x:c r="D55" s="8" t="str">
        <x:v>早期争议复核导出.user_type</x:v>
      </x:c>
      <x:c r="E55" s="8" t="str">
        <x:v>工作与学习</x:v>
      </x:c>
      <x:c r="F55" s="8" t="str">
        <x:v>工作与学习</x:v>
      </x:c>
      <x:c r="G55" s="8" t="n">
        <x:v>0</x:v>
      </x:c>
      <x:c r="H55" s="8" t="n">
        <x:v>0</x:v>
      </x:c>
      <x:c r="I55" s="8" t="n">
        <x:v>0</x:v>
      </x:c>
      <x:c r="J55" s="8" t="n">
        <x:v>19</x:v>
      </x:c>
      <x:c r="K55" s="8" t="str">
        <x:v>["G021"]</x:v>
      </x:c>
      <x:c r="L55" s="8" t="str">
        <x:v>https://github.com/Sparkling-Flames/3D_Manhattan_label/blob/844a4694627e1eacc6bfb48911897335e48ecc17/data/mp3d_layout/test/img/B6ByNegPMKs_343c07bcee6a4740a3cd39540e8f4ca2.png</x:v>
      </x:c>
      <x:c r="M55" s="8" t="str">
        <x:v>B6ByNegPMKs_343c07bcee6a4740a3cd39540e8f4ca2</x:v>
      </x:c>
    </x:row>
    <x:row r="56" ht="44" customHeight="1">
      <x:c r="A56" s="8" t="str">
        <x:v>B6ByNegPMKs</x:v>
      </x:c>
      <x:c r="B56" s="8" t="n">
        <x:v>9</x:v>
      </x:c>
      <x:c r="C56" s="8" t="str">
        <x:v>工作与学习</x:v>
      </x:c>
      <x:c r="D56" s="8" t="str">
        <x:v>早期争议复核导出.user_type</x:v>
      </x:c>
      <x:c r="E56" s="8" t="str">
        <x:v>工作与学习</x:v>
      </x:c>
      <x:c r="F56" s="8" t="str">
        <x:v>工作与学习</x:v>
      </x:c>
      <x:c r="G56" s="8" t="n">
        <x:v>0</x:v>
      </x:c>
      <x:c r="H56" s="8" t="n">
        <x:v>0</x:v>
      </x:c>
      <x:c r="I56" s="8" t="n">
        <x:v>0</x:v>
      </x:c>
      <x:c r="J56" s="8" t="n">
        <x:v>19</x:v>
      </x:c>
      <x:c r="K56" s="8" t="str">
        <x:v>["G025"]</x:v>
      </x:c>
      <x:c r="L56" s="8" t="str">
        <x:v>https://github.com/Sparkling-Flames/3D_Manhattan_label/blob/844a4694627e1eacc6bfb48911897335e48ecc17/data/mp3d_layout/test/img/B6ByNegPMKs_3ed1f9b2f3c341d68c6d42895f56f7f9.png</x:v>
      </x:c>
      <x:c r="M56" s="8" t="str">
        <x:v>B6ByNegPMKs_3ed1f9b2f3c341d68c6d42895f56f7f9</x:v>
      </x:c>
    </x:row>
    <x:row r="57" ht="44" customHeight="1">
      <x:c r="A57" s="8" t="str">
        <x:v>B6ByNegPMKs</x:v>
      </x:c>
      <x:c r="B57" s="8" t="n">
        <x:v>10</x:v>
      </x:c>
      <x:c r="C57" s="8" t="str">
        <x:v>工作与学习</x:v>
      </x:c>
      <x:c r="D57" s="8" t="str">
        <x:v>早期争议复核导出.user_type</x:v>
      </x:c>
      <x:c r="E57" s="8" t="str">
        <x:v>工作与学习</x:v>
      </x:c>
      <x:c r="F57" s="8" t="str">
        <x:v>工作与学习</x:v>
      </x:c>
      <x:c r="G57" s="8" t="n">
        <x:v>0</x:v>
      </x:c>
      <x:c r="H57" s="8" t="n">
        <x:v>0</x:v>
      </x:c>
      <x:c r="I57" s="8" t="n">
        <x:v>26</x:v>
      </x:c>
      <x:c r="J57" s="8" t="n">
        <x:v>0</x:v>
      </x:c>
      <x:c r="K57" s="8" t="str">
        <x:v>["G022"]</x:v>
      </x:c>
      <x:c r="L57" s="8" t="str">
        <x:v>https://github.com/Sparkling-Flames/3D_Manhattan_label/blob/844a4694627e1eacc6bfb48911897335e48ecc17/data/mp3d_layout/test/img/B6ByNegPMKs_48ee619d38b142f88914e7e2582bc1d8.png</x:v>
      </x:c>
      <x:c r="M57" s="8" t="str">
        <x:v>B6ByNegPMKs_48ee619d38b142f88914e7e2582bc1d8</x:v>
      </x:c>
    </x:row>
    <x:row r="58" ht="44" customHeight="1">
      <x:c r="A58" s="8" t="str">
        <x:v>B6ByNegPMKs</x:v>
      </x:c>
      <x:c r="B58" s="8" t="n">
        <x:v>11</x:v>
      </x:c>
      <x:c r="C58" s="8" t="str">
        <x:v>通行与连接</x:v>
      </x:c>
      <x:c r="D58" s="8" t="str">
        <x:v>早期争议复核导出.user_type</x:v>
      </x:c>
      <x:c r="E58" s="8" t="str">
        <x:v>通行与连接</x:v>
      </x:c>
      <x:c r="F58" s="8" t="str">
        <x:v>通行与连接</x:v>
      </x:c>
      <x:c r="G58" s="8" t="n">
        <x:v>25</x:v>
      </x:c>
      <x:c r="H58" s="8" t="n">
        <x:v>19</x:v>
      </x:c>
      <x:c r="I58" s="8" t="n">
        <x:v>0</x:v>
      </x:c>
      <x:c r="J58" s="8" t="n">
        <x:v>0</x:v>
      </x:c>
      <x:c r="K58" s="8" t="str">
        <x:v>["G026", "G027"]</x:v>
      </x:c>
      <x:c r="L58" s="8" t="str">
        <x:v>https://github.com/Sparkling-Flames/3D_Manhattan_label/blob/844a4694627e1eacc6bfb48911897335e48ecc17/data/mp3d_layout/test/img/B6ByNegPMKs_4b983544c13946e3a3a518c565ad1086.png</x:v>
      </x:c>
      <x:c r="M58" s="8" t="str">
        <x:v>B6ByNegPMKs_4b983544c13946e3a3a518c565ad1086</x:v>
      </x:c>
    </x:row>
    <x:row r="59" ht="44" customHeight="1">
      <x:c r="A59" s="8" t="str">
        <x:v>B6ByNegPMKs</x:v>
      </x:c>
      <x:c r="B59" s="8" t="n">
        <x:v>12</x:v>
      </x:c>
      <x:c r="C59" s="8" t="str">
        <x:v>工作与学习</x:v>
      </x:c>
      <x:c r="D59" s="8" t="str">
        <x:v>早期争议复核导出.user_type</x:v>
      </x:c>
      <x:c r="E59" s="8" t="str">
        <x:v>工作与学习</x:v>
      </x:c>
      <x:c r="F59" s="8" t="str">
        <x:v>工作与学习</x:v>
      </x:c>
      <x:c r="G59" s="8" t="n">
        <x:v>0</x:v>
      </x:c>
      <x:c r="H59" s="8" t="n">
        <x:v>0</x:v>
      </x:c>
      <x:c r="I59" s="8" t="n">
        <x:v>0</x:v>
      </x:c>
      <x:c r="J59" s="8" t="n">
        <x:v>19</x:v>
      </x:c>
      <x:c r="K59" s="8" t="str">
        <x:v>["G023"]</x:v>
      </x:c>
      <x:c r="L59" s="8" t="str">
        <x:v>https://github.com/Sparkling-Flames/3D_Manhattan_label/blob/844a4694627e1eacc6bfb48911897335e48ecc17/data/mp3d_layout/test/img/B6ByNegPMKs_4c769d1a658d41eb995deb5b40af57a4.png</x:v>
      </x:c>
      <x:c r="M59" s="8" t="str">
        <x:v>B6ByNegPMKs_4c769d1a658d41eb995deb5b40af57a4</x:v>
      </x:c>
    </x:row>
    <x:row r="60" ht="44" customHeight="1">
      <x:c r="A60" s="8" t="str">
        <x:v>B6ByNegPMKs</x:v>
      </x:c>
      <x:c r="B60" s="8" t="n">
        <x:v>13</x:v>
      </x:c>
      <x:c r="C60" s="8" t="str">
        <x:v>通行与连接</x:v>
      </x:c>
      <x:c r="D60" s="8" t="str">
        <x:v>早期争议复核导出.user_type</x:v>
      </x:c>
      <x:c r="E60" s="8" t="str">
        <x:v>通行与连接</x:v>
      </x:c>
      <x:c r="F60" s="8" t="str">
        <x:v>通行与连接</x:v>
      </x:c>
      <x:c r="G60" s="8" t="n">
        <x:v>0</x:v>
      </x:c>
      <x:c r="H60" s="8" t="n">
        <x:v>0</x:v>
      </x:c>
      <x:c r="I60" s="8" t="n">
        <x:v>0</x:v>
      </x:c>
      <x:c r="J60" s="8" t="n">
        <x:v>19</x:v>
      </x:c>
      <x:c r="K60" s="8" t="str">
        <x:v>["G026"]</x:v>
      </x:c>
      <x:c r="L60" s="8" t="str">
        <x:v>https://github.com/Sparkling-Flames/3D_Manhattan_label/blob/844a4694627e1eacc6bfb48911897335e48ecc17/data/mp3d_layout/test/img/B6ByNegPMKs_4e537870fc094609a7eda53d1e313fa8.png</x:v>
      </x:c>
      <x:c r="M60" s="8" t="str">
        <x:v>B6ByNegPMKs_4e537870fc094609a7eda53d1e313fa8</x:v>
      </x:c>
    </x:row>
    <x:row r="61" ht="44" customHeight="1">
      <x:c r="A61" s="8" t="str">
        <x:v>B6ByNegPMKs</x:v>
      </x:c>
      <x:c r="B61" s="8" t="n">
        <x:v>14</x:v>
      </x:c>
      <x:c r="C61" s="8" t="str">
        <x:v>通行与连接</x:v>
      </x:c>
      <x:c r="D61" s="8" t="str">
        <x:v>早期争议复核导出.user_type</x:v>
      </x:c>
      <x:c r="E61" s="8" t="str">
        <x:v>通行与连接</x:v>
      </x:c>
      <x:c r="F61" s="8" t="str">
        <x:v>通行与连接</x:v>
      </x:c>
      <x:c r="G61" s="8" t="n">
        <x:v>0</x:v>
      </x:c>
      <x:c r="H61" s="8" t="n">
        <x:v>0</x:v>
      </x:c>
      <x:c r="I61" s="8" t="n">
        <x:v>0</x:v>
      </x:c>
      <x:c r="J61" s="8" t="n">
        <x:v>19</x:v>
      </x:c>
      <x:c r="K61" s="8" t="str">
        <x:v>["G028", "G029", "G030"]</x:v>
      </x:c>
      <x:c r="L61" s="8" t="str">
        <x:v>https://github.com/Sparkling-Flames/3D_Manhattan_label/blob/844a4694627e1eacc6bfb48911897335e48ecc17/data/mp3d_layout/test/img/B6ByNegPMKs_51623bde5d4a4550b2c34efe044a16dc.png</x:v>
      </x:c>
      <x:c r="M61" s="8" t="str">
        <x:v>B6ByNegPMKs_51623bde5d4a4550b2c34efe044a16dc</x:v>
      </x:c>
    </x:row>
    <x:row r="62" ht="44" customHeight="1">
      <x:c r="A62" s="8" t="str">
        <x:v>B6ByNegPMKs</x:v>
      </x:c>
      <x:c r="B62" s="8" t="n">
        <x:v>15</x:v>
      </x:c>
      <x:c r="C62" s="8" t="str">
        <x:v>通行与连接</x:v>
      </x:c>
      <x:c r="D62" s="8" t="str">
        <x:v>早期争议复核导出.user_type</x:v>
      </x:c>
      <x:c r="E62" s="8" t="str">
        <x:v>通行与连接</x:v>
      </x:c>
      <x:c r="F62" s="8" t="str">
        <x:v>通行与连接</x:v>
      </x:c>
      <x:c r="G62" s="8" t="n">
        <x:v>0</x:v>
      </x:c>
      <x:c r="H62" s="8" t="n">
        <x:v>0</x:v>
      </x:c>
      <x:c r="I62" s="8" t="n">
        <x:v>0</x:v>
      </x:c>
      <x:c r="J62" s="8" t="n">
        <x:v>19</x:v>
      </x:c>
      <x:c r="K62" s="8" t="str">
        <x:v>[]</x:v>
      </x:c>
      <x:c r="L62" s="8" t="str">
        <x:v>https://github.com/Sparkling-Flames/3D_Manhattan_label/blob/844a4694627e1eacc6bfb48911897335e48ecc17/data/mp3d_layout/test/img/B6ByNegPMKs_53249ef8a94c4c40bd6f09c069e54d16.png</x:v>
      </x:c>
      <x:c r="M62" s="8" t="str">
        <x:v>B6ByNegPMKs_53249ef8a94c4c40bd6f09c069e54d16</x:v>
      </x:c>
    </x:row>
    <x:row r="63" ht="44" customHeight="1">
      <x:c r="A63" s="8" t="str">
        <x:v>B6ByNegPMKs</x:v>
      </x:c>
      <x:c r="B63" s="8" t="n">
        <x:v>16</x:v>
      </x:c>
      <x:c r="C63" s="8" t="str">
        <x:v>通行与连接</x:v>
      </x:c>
      <x:c r="D63" s="8" t="str">
        <x:v>早期争议复核导出.user_type</x:v>
      </x:c>
      <x:c r="E63" s="8" t="str">
        <x:v>通行与连接</x:v>
      </x:c>
      <x:c r="F63" s="8" t="str">
        <x:v>通行与连接</x:v>
      </x:c>
      <x:c r="G63" s="8" t="n">
        <x:v>0</x:v>
      </x:c>
      <x:c r="H63" s="8" t="n">
        <x:v>0</x:v>
      </x:c>
      <x:c r="I63" s="8" t="n">
        <x:v>0</x:v>
      </x:c>
      <x:c r="J63" s="8" t="n">
        <x:v>19</x:v>
      </x:c>
      <x:c r="K63" s="8" t="str">
        <x:v>["G028"]</x:v>
      </x:c>
      <x:c r="L63" s="8" t="str">
        <x:v>https://github.com/Sparkling-Flames/3D_Manhattan_label/blob/844a4694627e1eacc6bfb48911897335e48ecc17/data/mp3d_layout/test/img/B6ByNegPMKs_59cbdf96b19c4cc4a576e6658c5f67d6.png</x:v>
      </x:c>
      <x:c r="M63" s="8" t="str">
        <x:v>B6ByNegPMKs_59cbdf96b19c4cc4a576e6658c5f67d6</x:v>
      </x:c>
    </x:row>
    <x:row r="64" ht="44" customHeight="1">
      <x:c r="A64" s="8" t="str">
        <x:v>B6ByNegPMKs</x:v>
      </x:c>
      <x:c r="B64" s="8" t="n">
        <x:v>17</x:v>
      </x:c>
      <x:c r="C64" s="8" t="str">
        <x:v>工作与学习</x:v>
      </x:c>
      <x:c r="D64" s="8" t="str">
        <x:v>早期争议复核导出.user_type</x:v>
      </x:c>
      <x:c r="E64" s="8" t="str">
        <x:v>工作与学习</x:v>
      </x:c>
      <x:c r="F64" s="8" t="str">
        <x:v>工作与学习</x:v>
      </x:c>
      <x:c r="G64" s="8" t="n">
        <x:v>0</x:v>
      </x:c>
      <x:c r="H64" s="8" t="n">
        <x:v>0</x:v>
      </x:c>
      <x:c r="I64" s="8" t="n">
        <x:v>0</x:v>
      </x:c>
      <x:c r="J64" s="8" t="n">
        <x:v>19</x:v>
      </x:c>
      <x:c r="K64" s="8" t="str">
        <x:v>["G031"]</x:v>
      </x:c>
      <x:c r="L64" s="8" t="str">
        <x:v>https://github.com/Sparkling-Flames/3D_Manhattan_label/blob/844a4694627e1eacc6bfb48911897335e48ecc17/data/mp3d_layout/test/img/B6ByNegPMKs_5b3d1c9fefb64512b0c9750a00feece4.png</x:v>
      </x:c>
      <x:c r="M64" s="8" t="str">
        <x:v>B6ByNegPMKs_5b3d1c9fefb64512b0c9750a00feece4</x:v>
      </x:c>
    </x:row>
    <x:row r="65" ht="44" customHeight="1">
      <x:c r="A65" s="8" t="str">
        <x:v>B6ByNegPMKs</x:v>
      </x:c>
      <x:c r="B65" s="8" t="n">
        <x:v>18</x:v>
      </x:c>
      <x:c r="C65" s="8" t="str">
        <x:v>工作与学习</x:v>
      </x:c>
      <x:c r="D65" s="8" t="str">
        <x:v>早期争议复核导出.user_type</x:v>
      </x:c>
      <x:c r="E65" s="8" t="str">
        <x:v>工作</x:v>
      </x:c>
      <x:c r="F65" s="8" t="str">
        <x:v>开放复合空间</x:v>
      </x:c>
      <x:c r="G65" s="8" t="n">
        <x:v>5</x:v>
      </x:c>
      <x:c r="H65" s="8" t="n">
        <x:v>4</x:v>
      </x:c>
      <x:c r="I65" s="8" t="n">
        <x:v>4</x:v>
      </x:c>
      <x:c r="J65" s="8" t="n">
        <x:v>11</x:v>
      </x:c>
      <x:c r="K65" s="8" t="str">
        <x:v>[]</x:v>
      </x:c>
      <x:c r="L65" s="8" t="str">
        <x:v>https://github.com/Sparkling-Flames/3D_Manhattan_label/blob/844a4694627e1eacc6bfb48911897335e48ecc17/data/mp3d_layout/test/img/B6ByNegPMKs_5b5bd1eac4e6462d8c6677b90a4cf9a9.png</x:v>
      </x:c>
      <x:c r="M65" s="8" t="str">
        <x:v>B6ByNegPMKs_5b5bd1eac4e6462d8c6677b90a4cf9a9</x:v>
      </x:c>
    </x:row>
    <x:row r="66" ht="44" customHeight="1">
      <x:c r="A66" s="8" t="str">
        <x:v>B6ByNegPMKs</x:v>
      </x:c>
      <x:c r="B66" s="8" t="n">
        <x:v>19</x:v>
      </x:c>
      <x:c r="C66" s="8" t="str">
        <x:v>工作与学习</x:v>
      </x:c>
      <x:c r="D66" s="8" t="str">
        <x:v>早期争议复核导出.user_type</x:v>
      </x:c>
      <x:c r="E66" s="8" t="str">
        <x:v>工作与学习</x:v>
      </x:c>
      <x:c r="F66" s="8" t="str">
        <x:v>工作与学习</x:v>
      </x:c>
      <x:c r="G66" s="8" t="n">
        <x:v>0</x:v>
      </x:c>
      <x:c r="H66" s="8" t="n">
        <x:v>0</x:v>
      </x:c>
      <x:c r="I66" s="8" t="n">
        <x:v>0</x:v>
      </x:c>
      <x:c r="J66" s="8" t="n">
        <x:v>19</x:v>
      </x:c>
      <x:c r="K66" s="8" t="str">
        <x:v>["G031"]</x:v>
      </x:c>
      <x:c r="L66" s="8" t="str">
        <x:v>https://github.com/Sparkling-Flames/3D_Manhattan_label/blob/844a4694627e1eacc6bfb48911897335e48ecc17/data/mp3d_layout/test/img/B6ByNegPMKs_6ef1007d4f8641cfa4102b27787f0210.png</x:v>
      </x:c>
      <x:c r="M66" s="8" t="str">
        <x:v>B6ByNegPMKs_6ef1007d4f8641cfa4102b27787f0210</x:v>
      </x:c>
    </x:row>
    <x:row r="67" ht="44" customHeight="1">
      <x:c r="A67" s="8" t="str">
        <x:v>B6ByNegPMKs</x:v>
      </x:c>
      <x:c r="B67" s="8" t="n">
        <x:v>20</x:v>
      </x:c>
      <x:c r="C67" s="8" t="str">
        <x:v>工作与学习</x:v>
      </x:c>
      <x:c r="D67" s="8" t="str">
        <x:v>早期争议复核导出.user_type</x:v>
      </x:c>
      <x:c r="E67" s="8" t="str">
        <x:v>工作与学习</x:v>
      </x:c>
      <x:c r="F67" s="8" t="str">
        <x:v>工作与学习</x:v>
      </x:c>
      <x:c r="G67" s="8" t="n">
        <x:v>0</x:v>
      </x:c>
      <x:c r="H67" s="8" t="n">
        <x:v>0</x:v>
      </x:c>
      <x:c r="I67" s="8" t="n">
        <x:v>0</x:v>
      </x:c>
      <x:c r="J67" s="8" t="n">
        <x:v>19</x:v>
      </x:c>
      <x:c r="K67" s="8" t="str">
        <x:v>[]</x:v>
      </x:c>
      <x:c r="L67" s="8" t="str">
        <x:v>https://github.com/Sparkling-Flames/3D_Manhattan_label/blob/844a4694627e1eacc6bfb48911897335e48ecc17/data/mp3d_layout/test/img/B6ByNegPMKs_6f74372f4fbe4741b5388a6583284ad3.png</x:v>
      </x:c>
      <x:c r="M67" s="8" t="str">
        <x:v>B6ByNegPMKs_6f74372f4fbe4741b5388a6583284ad3</x:v>
      </x:c>
    </x:row>
    <x:row r="68" ht="44" customHeight="1">
      <x:c r="A68" s="8" t="str">
        <x:v>B6ByNegPMKs</x:v>
      </x:c>
      <x:c r="B68" s="8" t="n">
        <x:v>21</x:v>
      </x:c>
      <x:c r="C68" s="8" t="str">
        <x:v>起居与休闲</x:v>
      </x:c>
      <x:c r="D68" s="8" t="str">
        <x:v>早期争议复核导出.user_type</x:v>
      </x:c>
      <x:c r="E68" s="8" t="str">
        <x:v>起居与休闲</x:v>
      </x:c>
      <x:c r="F68" s="8" t="str">
        <x:v>工作与学习</x:v>
      </x:c>
      <x:c r="G68" s="8" t="n">
        <x:v>5</x:v>
      </x:c>
      <x:c r="H68" s="8" t="n">
        <x:v>4</x:v>
      </x:c>
      <x:c r="I68" s="8" t="n">
        <x:v>4</x:v>
      </x:c>
      <x:c r="J68" s="8" t="n">
        <x:v>11</x:v>
      </x:c>
      <x:c r="K68" s="8" t="str">
        <x:v>["G024"]</x:v>
      </x:c>
      <x:c r="L68" s="8" t="str">
        <x:v>https://github.com/Sparkling-Flames/3D_Manhattan_label/blob/844a4694627e1eacc6bfb48911897335e48ecc17/data/mp3d_layout/test/img/B6ByNegPMKs_7018ca302c584d0d85024187f3568460.png</x:v>
      </x:c>
      <x:c r="M68" s="8" t="str">
        <x:v>B6ByNegPMKs_7018ca302c584d0d85024187f3568460</x:v>
      </x:c>
    </x:row>
    <x:row r="69" ht="44" customHeight="1">
      <x:c r="A69" s="8" t="str">
        <x:v>B6ByNegPMKs</x:v>
      </x:c>
      <x:c r="B69" s="8" t="n">
        <x:v>22</x:v>
      </x:c>
      <x:c r="C69" s="8" t="str">
        <x:v>通行与连接</x:v>
      </x:c>
      <x:c r="D69" s="8" t="str">
        <x:v>早期争议复核导出.user_type</x:v>
      </x:c>
      <x:c r="E69" s="8" t="str">
        <x:v>通行与连接</x:v>
      </x:c>
      <x:c r="F69" s="8" t="str">
        <x:v>通行与连接</x:v>
      </x:c>
      <x:c r="G69" s="8" t="n">
        <x:v>0</x:v>
      </x:c>
      <x:c r="H69" s="8" t="n">
        <x:v>0</x:v>
      </x:c>
      <x:c r="I69" s="8" t="n">
        <x:v>26</x:v>
      </x:c>
      <x:c r="J69" s="8" t="n">
        <x:v>0</x:v>
      </x:c>
      <x:c r="K69" s="8" t="str">
        <x:v>["G029"]</x:v>
      </x:c>
      <x:c r="L69" s="8" t="str">
        <x:v>https://github.com/Sparkling-Flames/3D_Manhattan_label/blob/844a4694627e1eacc6bfb48911897335e48ecc17/data/mp3d_layout/test/img/B6ByNegPMKs_75327de9719945aa8b893a6404667884.png</x:v>
      </x:c>
      <x:c r="M69" s="8" t="str">
        <x:v>B6ByNegPMKs_75327de9719945aa8b893a6404667884</x:v>
      </x:c>
    </x:row>
    <x:row r="70" ht="44" customHeight="1">
      <x:c r="A70" s="8" t="str">
        <x:v>B6ByNegPMKs</x:v>
      </x:c>
      <x:c r="B70" s="8" t="n">
        <x:v>23</x:v>
      </x:c>
      <x:c r="C70" s="8" t="str">
        <x:v>通行与连接</x:v>
      </x:c>
      <x:c r="D70" s="8" t="str">
        <x:v>早期争议复核导出.user_type</x:v>
      </x:c>
      <x:c r="E70" s="8" t="str">
        <x:v>通行与连接</x:v>
      </x:c>
      <x:c r="F70" s="8" t="str">
        <x:v>通行与连接</x:v>
      </x:c>
      <x:c r="G70" s="8" t="n">
        <x:v>0</x:v>
      </x:c>
      <x:c r="H70" s="8" t="n">
        <x:v>0</x:v>
      </x:c>
      <x:c r="I70" s="8" t="n">
        <x:v>0</x:v>
      </x:c>
      <x:c r="J70" s="8" t="n">
        <x:v>19</x:v>
      </x:c>
      <x:c r="K70" s="8" t="str">
        <x:v>["G030"]</x:v>
      </x:c>
      <x:c r="L70" s="8" t="str">
        <x:v>https://github.com/Sparkling-Flames/3D_Manhattan_label/blob/844a4694627e1eacc6bfb48911897335e48ecc17/data/mp3d_layout/test/img/B6ByNegPMKs_8a830452b3b449d08625f3d70bdd07b8.png</x:v>
      </x:c>
      <x:c r="M70" s="8" t="str">
        <x:v>B6ByNegPMKs_8a830452b3b449d08625f3d70bdd07b8</x:v>
      </x:c>
    </x:row>
    <x:row r="71" ht="44" customHeight="1">
      <x:c r="A71" s="8" t="str">
        <x:v>B6ByNegPMKs</x:v>
      </x:c>
      <x:c r="B71" s="8" t="n">
        <x:v>24</x:v>
      </x:c>
      <x:c r="C71" s="8" t="str">
        <x:v>通行与连接</x:v>
      </x:c>
      <x:c r="D71" s="8" t="str">
        <x:v>早期争议复核导出.user_type</x:v>
      </x:c>
      <x:c r="E71" s="8" t="str">
        <x:v>通行与连接</x:v>
      </x:c>
      <x:c r="F71" s="8" t="str">
        <x:v>通行与连接</x:v>
      </x:c>
      <x:c r="G71" s="8" t="n">
        <x:v>0</x:v>
      </x:c>
      <x:c r="H71" s="8" t="n">
        <x:v>0</x:v>
      </x:c>
      <x:c r="I71" s="8" t="n">
        <x:v>0</x:v>
      </x:c>
      <x:c r="J71" s="8" t="n">
        <x:v>19</x:v>
      </x:c>
      <x:c r="K71" s="8" t="str">
        <x:v>[]</x:v>
      </x:c>
      <x:c r="L71" s="8" t="str">
        <x:v>https://github.com/Sparkling-Flames/3D_Manhattan_label/blob/844a4694627e1eacc6bfb48911897335e48ecc17/data/mp3d_layout/test/img/B6ByNegPMKs_8b1abc1b47784d758b9ec1e079160475.png</x:v>
      </x:c>
      <x:c r="M71" s="8" t="str">
        <x:v>B6ByNegPMKs_8b1abc1b47784d758b9ec1e079160475</x:v>
      </x:c>
    </x:row>
    <x:row r="72" ht="44" customHeight="1">
      <x:c r="A72" s="8" t="str">
        <x:v>B6ByNegPMKs</x:v>
      </x:c>
      <x:c r="B72" s="8" t="n">
        <x:v>25</x:v>
      </x:c>
      <x:c r="C72" s="8" t="str">
        <x:v>工作与学习</x:v>
      </x:c>
      <x:c r="D72" s="8" t="str">
        <x:v>早期争议复核导出.user_type</x:v>
      </x:c>
      <x:c r="E72" s="8" t="str">
        <x:v>工作与学习</x:v>
      </x:c>
      <x:c r="F72" s="8" t="str">
        <x:v>工作与学习</x:v>
      </x:c>
      <x:c r="G72" s="8" t="n">
        <x:v>0</x:v>
      </x:c>
      <x:c r="H72" s="8" t="n">
        <x:v>0</x:v>
      </x:c>
      <x:c r="I72" s="8" t="n">
        <x:v>0</x:v>
      </x:c>
      <x:c r="J72" s="8" t="n">
        <x:v>19</x:v>
      </x:c>
      <x:c r="K72" s="8" t="str">
        <x:v>["G032"]</x:v>
      </x:c>
      <x:c r="L72" s="8" t="str">
        <x:v>https://github.com/Sparkling-Flames/3D_Manhattan_label/blob/844a4694627e1eacc6bfb48911897335e48ecc17/data/mp3d_layout/test/img/B6ByNegPMKs_8b4e1e0ada214ee68dc9e0350cbad884.png</x:v>
      </x:c>
      <x:c r="M72" s="8" t="str">
        <x:v>B6ByNegPMKs_8b4e1e0ada214ee68dc9e0350cbad884</x:v>
      </x:c>
    </x:row>
    <x:row r="73" ht="44" customHeight="1">
      <x:c r="A73" s="8" t="str">
        <x:v>B6ByNegPMKs</x:v>
      </x:c>
      <x:c r="B73" s="8" t="n">
        <x:v>26</x:v>
      </x:c>
      <x:c r="C73" s="8" t="str">
        <x:v>通行与连接</x:v>
      </x:c>
      <x:c r="D73" s="8" t="str">
        <x:v>早期争议复核导出.user_type</x:v>
      </x:c>
      <x:c r="E73" s="8" t="str">
        <x:v>通行与连接</x:v>
      </x:c>
      <x:c r="F73" s="8" t="str">
        <x:v>通行与连接</x:v>
      </x:c>
      <x:c r="G73" s="8" t="n">
        <x:v>0</x:v>
      </x:c>
      <x:c r="H73" s="8" t="n">
        <x:v>0</x:v>
      </x:c>
      <x:c r="I73" s="8" t="n">
        <x:v>0</x:v>
      </x:c>
      <x:c r="J73" s="8" t="n">
        <x:v>19</x:v>
      </x:c>
      <x:c r="K73" s="8" t="str">
        <x:v>["G033"]</x:v>
      </x:c>
      <x:c r="L73" s="8" t="str">
        <x:v>https://github.com/Sparkling-Flames/3D_Manhattan_label/blob/844a4694627e1eacc6bfb48911897335e48ecc17/data/mp3d_layout/test/img/B6ByNegPMKs_8c414a8052c844b4bcd5dc3fadde7f8c.png</x:v>
      </x:c>
      <x:c r="M73" s="8" t="str">
        <x:v>B6ByNegPMKs_8c414a8052c844b4bcd5dc3fadde7f8c</x:v>
      </x:c>
    </x:row>
    <x:row r="74" ht="44" customHeight="1">
      <x:c r="A74" s="8" t="str">
        <x:v>B6ByNegPMKs</x:v>
      </x:c>
      <x:c r="B74" s="8" t="n">
        <x:v>27</x:v>
      </x:c>
      <x:c r="C74" s="8" t="str">
        <x:v>通行与连接</x:v>
      </x:c>
      <x:c r="D74" s="8" t="str">
        <x:v>早期争议复核导出.user_type</x:v>
      </x:c>
      <x:c r="E74" s="8" t="str">
        <x:v>通行与连接</x:v>
      </x:c>
      <x:c r="F74" s="8" t="str">
        <x:v>通行与连接</x:v>
      </x:c>
      <x:c r="G74" s="8" t="n">
        <x:v>0</x:v>
      </x:c>
      <x:c r="H74" s="8" t="n">
        <x:v>0</x:v>
      </x:c>
      <x:c r="I74" s="8" t="n">
        <x:v>0</x:v>
      </x:c>
      <x:c r="J74" s="8" t="n">
        <x:v>19</x:v>
      </x:c>
      <x:c r="K74" s="8" t="str">
        <x:v>["G019"]</x:v>
      </x:c>
      <x:c r="L74" s="8" t="str">
        <x:v>https://github.com/Sparkling-Flames/3D_Manhattan_label/blob/844a4694627e1eacc6bfb48911897335e48ecc17/data/mp3d_layout/test/img/B6ByNegPMKs_8c889fb13bce4bcebdac872570cb5381.png</x:v>
      </x:c>
      <x:c r="M74" s="8" t="str">
        <x:v>B6ByNegPMKs_8c889fb13bce4bcebdac872570cb5381</x:v>
      </x:c>
    </x:row>
    <x:row r="75" ht="44" customHeight="1">
      <x:c r="A75" s="8" t="str">
        <x:v>B6ByNegPMKs</x:v>
      </x:c>
      <x:c r="B75" s="8" t="n">
        <x:v>28</x:v>
      </x:c>
      <x:c r="C75" s="8" t="str">
        <x:v>工作与学习</x:v>
      </x:c>
      <x:c r="D75" s="8" t="str">
        <x:v>早期争议复核导出.user_type</x:v>
      </x:c>
      <x:c r="E75" s="8" t="str">
        <x:v>工作与学习</x:v>
      </x:c>
      <x:c r="F75" s="8" t="str">
        <x:v>工作与学习</x:v>
      </x:c>
      <x:c r="G75" s="8" t="n">
        <x:v>0</x:v>
      </x:c>
      <x:c r="H75" s="8" t="n">
        <x:v>0</x:v>
      </x:c>
      <x:c r="I75" s="8" t="n">
        <x:v>0</x:v>
      </x:c>
      <x:c r="J75" s="8" t="n">
        <x:v>19</x:v>
      </x:c>
      <x:c r="K75" s="8" t="str">
        <x:v>[]</x:v>
      </x:c>
      <x:c r="L75" s="8" t="str">
        <x:v>https://github.com/Sparkling-Flames/3D_Manhattan_label/blob/844a4694627e1eacc6bfb48911897335e48ecc17/data/mp3d_layout/test/img/B6ByNegPMKs_8d4e583714dd484d8e1e9bfb38ef2250.png</x:v>
      </x:c>
      <x:c r="M75" s="8" t="str">
        <x:v>B6ByNegPMKs_8d4e583714dd484d8e1e9bfb38ef2250</x:v>
      </x:c>
    </x:row>
    <x:row r="76" ht="44" customHeight="1">
      <x:c r="A76" s="8" t="str">
        <x:v>B6ByNegPMKs</x:v>
      </x:c>
      <x:c r="B76" s="8" t="n">
        <x:v>29</x:v>
      </x:c>
      <x:c r="C76" s="8" t="str">
        <x:v>通行与连接</x:v>
      </x:c>
      <x:c r="D76" s="8" t="str">
        <x:v>早期争议复核导出.user_type</x:v>
      </x:c>
      <x:c r="E76" s="8" t="str">
        <x:v>通行与连接</x:v>
      </x:c>
      <x:c r="F76" s="8" t="str">
        <x:v>通行与连接</x:v>
      </x:c>
      <x:c r="G76" s="8" t="n">
        <x:v>0</x:v>
      </x:c>
      <x:c r="H76" s="8" t="n">
        <x:v>0</x:v>
      </x:c>
      <x:c r="I76" s="8" t="n">
        <x:v>0</x:v>
      </x:c>
      <x:c r="J76" s="8" t="n">
        <x:v>19</x:v>
      </x:c>
      <x:c r="K76" s="8" t="str">
        <x:v>["G033"]</x:v>
      </x:c>
      <x:c r="L76" s="8" t="str">
        <x:v>https://github.com/Sparkling-Flames/3D_Manhattan_label/blob/844a4694627e1eacc6bfb48911897335e48ecc17/data/mp3d_layout/test/img/B6ByNegPMKs_9a11dae14ce9444287b881b54c6f6b6e.png</x:v>
      </x:c>
      <x:c r="M76" s="8" t="str">
        <x:v>B6ByNegPMKs_9a11dae14ce9444287b881b54c6f6b6e</x:v>
      </x:c>
    </x:row>
    <x:row r="77" ht="44" customHeight="1">
      <x:c r="A77" s="8" t="str">
        <x:v>B6ByNegPMKs</x:v>
      </x:c>
      <x:c r="B77" s="8" t="n">
        <x:v>30</x:v>
      </x:c>
      <x:c r="C77" s="8" t="str">
        <x:v>储藏与家务辅助</x:v>
      </x:c>
      <x:c r="D77" s="8" t="str">
        <x:v>后续41图亲审.current_classification.coarse_type</x:v>
      </x:c>
      <x:c r="E77" s="8" t="str">
        <x:v>工作</x:v>
      </x:c>
      <x:c r="F77" s="8" t="str">
        <x:v>工作与学习</x:v>
      </x:c>
      <x:c r="G77" s="8" t="n">
        <x:v>0</x:v>
      </x:c>
      <x:c r="H77" s="8" t="n">
        <x:v>0</x:v>
      </x:c>
      <x:c r="I77" s="8" t="n">
        <x:v>0</x:v>
      </x:c>
      <x:c r="J77" s="8" t="n">
        <x:v>19</x:v>
      </x:c>
      <x:c r="K77" s="8" t="str">
        <x:v>["G034"]</x:v>
      </x:c>
      <x:c r="L77" s="8" t="str">
        <x:v>https://github.com/Sparkling-Flames/3D_Manhattan_label/blob/844a4694627e1eacc6bfb48911897335e48ecc17/data/mp3d_layout/test/img/B6ByNegPMKs_9c62e22ac161400e969f5962b748c3e8.png</x:v>
      </x:c>
      <x:c r="M77" s="8" t="str">
        <x:v>B6ByNegPMKs_9c62e22ac161400e969f5962b748c3e8</x:v>
      </x:c>
    </x:row>
    <x:row r="78" ht="44" customHeight="1">
      <x:c r="A78" s="8" t="str">
        <x:v>B6ByNegPMKs</x:v>
      </x:c>
      <x:c r="B78" s="8" t="n">
        <x:v>31</x:v>
      </x:c>
      <x:c r="C78" s="8" t="str">
        <x:v>工作与学习</x:v>
      </x:c>
      <x:c r="D78" s="8" t="str">
        <x:v>早期争议复核导出.user_type</x:v>
      </x:c>
      <x:c r="E78" s="8" t="str">
        <x:v>工作与学习</x:v>
      </x:c>
      <x:c r="F78" s="8" t="str">
        <x:v>工作与学习</x:v>
      </x:c>
      <x:c r="G78" s="8" t="n">
        <x:v>0</x:v>
      </x:c>
      <x:c r="H78" s="8" t="n">
        <x:v>0</x:v>
      </x:c>
      <x:c r="I78" s="8" t="n">
        <x:v>0</x:v>
      </x:c>
      <x:c r="J78" s="8" t="n">
        <x:v>19</x:v>
      </x:c>
      <x:c r="K78" s="8" t="str">
        <x:v>[]</x:v>
      </x:c>
      <x:c r="L78" s="8" t="str">
        <x:v>https://github.com/Sparkling-Flames/3D_Manhattan_label/blob/844a4694627e1eacc6bfb48911897335e48ecc17/data/mp3d_layout/test/img/B6ByNegPMKs_b5d0239ee410435aa172b77984b9faa4.png</x:v>
      </x:c>
      <x:c r="M78" s="8" t="str">
        <x:v>B6ByNegPMKs_b5d0239ee410435aa172b77984b9faa4</x:v>
      </x:c>
    </x:row>
    <x:row r="79" ht="44" customHeight="1">
      <x:c r="A79" s="8" t="str">
        <x:v>B6ByNegPMKs</x:v>
      </x:c>
      <x:c r="B79" s="8" t="n">
        <x:v>32</x:v>
      </x:c>
      <x:c r="C79" s="8" t="str">
        <x:v>通行与连接</x:v>
      </x:c>
      <x:c r="D79" s="8" t="str">
        <x:v>早期争议复核导出.user_type</x:v>
      </x:c>
      <x:c r="E79" s="8" t="str">
        <x:v>通行与连接</x:v>
      </x:c>
      <x:c r="F79" s="8" t="str">
        <x:v>通行与连接</x:v>
      </x:c>
      <x:c r="G79" s="8" t="n">
        <x:v>0</x:v>
      </x:c>
      <x:c r="H79" s="8" t="n">
        <x:v>0</x:v>
      </x:c>
      <x:c r="I79" s="8" t="n">
        <x:v>0</x:v>
      </x:c>
      <x:c r="J79" s="8" t="n">
        <x:v>19</x:v>
      </x:c>
      <x:c r="K79" s="8" t="str">
        <x:v>["G035"]</x:v>
      </x:c>
      <x:c r="L79" s="8" t="str">
        <x:v>https://github.com/Sparkling-Flames/3D_Manhattan_label/blob/844a4694627e1eacc6bfb48911897335e48ecc17/data/mp3d_layout/test/img/B6ByNegPMKs_b5dcbc0109a344a281d8ae467ccf3fc2.png</x:v>
      </x:c>
      <x:c r="M79" s="8" t="str">
        <x:v>B6ByNegPMKs_b5dcbc0109a344a281d8ae467ccf3fc2</x:v>
      </x:c>
    </x:row>
    <x:row r="80" ht="44" customHeight="1">
      <x:c r="A80" s="8" t="str">
        <x:v>B6ByNegPMKs</x:v>
      </x:c>
      <x:c r="B80" s="8" t="n">
        <x:v>33</x:v>
      </x:c>
      <x:c r="C80" s="8" t="str">
        <x:v>通行与连接</x:v>
      </x:c>
      <x:c r="D80" s="8" t="str">
        <x:v>早期争议复核导出.user_type</x:v>
      </x:c>
      <x:c r="E80" s="8" t="str">
        <x:v>通行与连接</x:v>
      </x:c>
      <x:c r="F80" s="8" t="str">
        <x:v>通行与连接</x:v>
      </x:c>
      <x:c r="G80" s="8" t="n">
        <x:v>25</x:v>
      </x:c>
      <x:c r="H80" s="8" t="n">
        <x:v>19</x:v>
      </x:c>
      <x:c r="I80" s="8" t="n">
        <x:v>0</x:v>
      </x:c>
      <x:c r="J80" s="8" t="n">
        <x:v>0</x:v>
      </x:c>
      <x:c r="K80" s="8" t="str">
        <x:v>["G035", "G036"]</x:v>
      </x:c>
      <x:c r="L80" s="8" t="str">
        <x:v>https://github.com/Sparkling-Flames/3D_Manhattan_label/blob/844a4694627e1eacc6bfb48911897335e48ecc17/data/mp3d_layout/test/img/B6ByNegPMKs_b8e1ecf1bd044e7292581a66683e7993.png</x:v>
      </x:c>
      <x:c r="M80" s="8" t="str">
        <x:v>B6ByNegPMKs_b8e1ecf1bd044e7292581a66683e7993</x:v>
      </x:c>
    </x:row>
    <x:row r="81" ht="44" customHeight="1">
      <x:c r="A81" s="8" t="str">
        <x:v>B6ByNegPMKs</x:v>
      </x:c>
      <x:c r="B81" s="8" t="n">
        <x:v>34</x:v>
      </x:c>
      <x:c r="C81" s="8" t="str">
        <x:v>通行与连接</x:v>
      </x:c>
      <x:c r="D81" s="8" t="str">
        <x:v>早期争议复核导出.user_type</x:v>
      </x:c>
      <x:c r="E81" s="8" t="str">
        <x:v>通行与连接</x:v>
      </x:c>
      <x:c r="F81" s="8" t="str"/>
      <x:c r="G81" s="8" t="n">
        <x:v>0</x:v>
      </x:c>
      <x:c r="H81" s="8" t="n">
        <x:v>0</x:v>
      </x:c>
      <x:c r="I81" s="8" t="n">
        <x:v>0</x:v>
      </x:c>
      <x:c r="J81" s="8" t="n">
        <x:v>19</x:v>
      </x:c>
      <x:c r="K81" s="8" t="str">
        <x:v>["G037"]</x:v>
      </x:c>
      <x:c r="L81" s="8" t="str">
        <x:v>https://github.com/Sparkling-Flames/3D_Manhattan_label/blob/844a4694627e1eacc6bfb48911897335e48ecc17/data/mp3d_layout/test/img/B6ByNegPMKs_bb2332e3d7ad40a59ee5ad0eae108dec.png</x:v>
      </x:c>
      <x:c r="M81" s="8" t="str">
        <x:v>B6ByNegPMKs_bb2332e3d7ad40a59ee5ad0eae108dec</x:v>
      </x:c>
    </x:row>
    <x:row r="82" ht="44" customHeight="1">
      <x:c r="A82" s="8" t="str">
        <x:v>B6ByNegPMKs</x:v>
      </x:c>
      <x:c r="B82" s="8" t="n">
        <x:v>35</x:v>
      </x:c>
      <x:c r="C82" s="8" t="str">
        <x:v>起居与休闲</x:v>
      </x:c>
      <x:c r="D82" s="8" t="str">
        <x:v>早期争议复核导出.user_type</x:v>
      </x:c>
      <x:c r="E82" s="8" t="str">
        <x:v>起居与休闲</x:v>
      </x:c>
      <x:c r="F82" s="8" t="str">
        <x:v>开放复合空间</x:v>
      </x:c>
      <x:c r="G82" s="8" t="n">
        <x:v>0</x:v>
      </x:c>
      <x:c r="H82" s="8" t="n">
        <x:v>0</x:v>
      </x:c>
      <x:c r="I82" s="8" t="n">
        <x:v>0</x:v>
      </x:c>
      <x:c r="J82" s="8" t="n">
        <x:v>19</x:v>
      </x:c>
      <x:c r="K82" s="8" t="str">
        <x:v>[]</x:v>
      </x:c>
      <x:c r="L82" s="8" t="str">
        <x:v>https://github.com/Sparkling-Flames/3D_Manhattan_label/blob/844a4694627e1eacc6bfb48911897335e48ecc17/data/mp3d_layout/test/img/B6ByNegPMKs_bdc0695537064383b5cc5dbcff2a0b99.png</x:v>
      </x:c>
      <x:c r="M82" s="8" t="str">
        <x:v>B6ByNegPMKs_bdc0695537064383b5cc5dbcff2a0b99</x:v>
      </x:c>
    </x:row>
    <x:row r="83" ht="44" customHeight="1">
      <x:c r="A83" s="8" t="str">
        <x:v>B6ByNegPMKs</x:v>
      </x:c>
      <x:c r="B83" s="8" t="n">
        <x:v>36</x:v>
      </x:c>
      <x:c r="C83" s="8" t="str">
        <x:v>工作与学习</x:v>
      </x:c>
      <x:c r="D83" s="8" t="str">
        <x:v>早期争议复核导出.user_type</x:v>
      </x:c>
      <x:c r="E83" s="8" t="str">
        <x:v>工作与学习</x:v>
      </x:c>
      <x:c r="F83" s="8" t="str">
        <x:v>工作与学习</x:v>
      </x:c>
      <x:c r="G83" s="8" t="n">
        <x:v>0</x:v>
      </x:c>
      <x:c r="H83" s="8" t="n">
        <x:v>0</x:v>
      </x:c>
      <x:c r="I83" s="8" t="n">
        <x:v>0</x:v>
      </x:c>
      <x:c r="J83" s="8" t="n">
        <x:v>19</x:v>
      </x:c>
      <x:c r="K83" s="8" t="str">
        <x:v>["G025"]</x:v>
      </x:c>
      <x:c r="L83" s="8" t="str">
        <x:v>https://github.com/Sparkling-Flames/3D_Manhattan_label/blob/844a4694627e1eacc6bfb48911897335e48ecc17/data/mp3d_layout/test/img/B6ByNegPMKs_c36b46ddcadf4896a2aa0abca657f33d.png</x:v>
      </x:c>
      <x:c r="M83" s="8" t="str">
        <x:v>B6ByNegPMKs_c36b46ddcadf4896a2aa0abca657f33d</x:v>
      </x:c>
    </x:row>
    <x:row r="84" ht="44" customHeight="1">
      <x:c r="A84" s="8" t="str">
        <x:v>B6ByNegPMKs</x:v>
      </x:c>
      <x:c r="B84" s="8" t="n">
        <x:v>37</x:v>
      </x:c>
      <x:c r="C84" s="8" t="str">
        <x:v>通行与连接</x:v>
      </x:c>
      <x:c r="D84" s="8" t="str">
        <x:v>早期争议复核导出.user_type</x:v>
      </x:c>
      <x:c r="E84" s="8" t="str">
        <x:v>通行与连接</x:v>
      </x:c>
      <x:c r="F84" s="8" t="str">
        <x:v>通行与连接</x:v>
      </x:c>
      <x:c r="G84" s="8" t="n">
        <x:v>6</x:v>
      </x:c>
      <x:c r="H84" s="8" t="n">
        <x:v>5</x:v>
      </x:c>
      <x:c r="I84" s="8" t="n">
        <x:v>4</x:v>
      </x:c>
      <x:c r="J84" s="8" t="n">
        <x:v>11</x:v>
      </x:c>
      <x:c r="K84" s="8" t="str">
        <x:v>["G036"]</x:v>
      </x:c>
      <x:c r="L84" s="8" t="str">
        <x:v>https://github.com/Sparkling-Flames/3D_Manhattan_label/blob/844a4694627e1eacc6bfb48911897335e48ecc17/data/mp3d_layout/test/img/B6ByNegPMKs_c946db5792df4f90bea20f06a0030c37.png</x:v>
      </x:c>
      <x:c r="M84" s="8" t="str">
        <x:v>B6ByNegPMKs_c946db5792df4f90bea20f06a0030c37</x:v>
      </x:c>
    </x:row>
    <x:row r="85" ht="44" customHeight="1">
      <x:c r="A85" s="8" t="str">
        <x:v>B6ByNegPMKs</x:v>
      </x:c>
      <x:c r="B85" s="8" t="n">
        <x:v>38</x:v>
      </x:c>
      <x:c r="C85" s="8" t="str">
        <x:v>工作与学习</x:v>
      </x:c>
      <x:c r="D85" s="8" t="str">
        <x:v>早期争议复核导出.user_type</x:v>
      </x:c>
      <x:c r="E85" s="8" t="str">
        <x:v>工作与学习</x:v>
      </x:c>
      <x:c r="F85" s="8" t="str">
        <x:v>工作与学习</x:v>
      </x:c>
      <x:c r="G85" s="8" t="n">
        <x:v>0</x:v>
      </x:c>
      <x:c r="H85" s="8" t="n">
        <x:v>0</x:v>
      </x:c>
      <x:c r="I85" s="8" t="n">
        <x:v>0</x:v>
      </x:c>
      <x:c r="J85" s="8" t="n">
        <x:v>19</x:v>
      </x:c>
      <x:c r="K85" s="8" t="str">
        <x:v>["G020"]</x:v>
      </x:c>
      <x:c r="L85" s="8" t="str">
        <x:v>https://github.com/Sparkling-Flames/3D_Manhattan_label/blob/844a4694627e1eacc6bfb48911897335e48ecc17/data/mp3d_layout/test/img/B6ByNegPMKs_ce2f5a74556c4be192df3ca7a178cefb.png</x:v>
      </x:c>
      <x:c r="M85" s="8" t="str">
        <x:v>B6ByNegPMKs_ce2f5a74556c4be192df3ca7a178cefb</x:v>
      </x:c>
    </x:row>
    <x:row r="86" ht="44" customHeight="1">
      <x:c r="A86" s="8" t="str">
        <x:v>B6ByNegPMKs</x:v>
      </x:c>
      <x:c r="B86" s="8" t="n">
        <x:v>39</x:v>
      </x:c>
      <x:c r="C86" s="8" t="str">
        <x:v>工作与学习</x:v>
      </x:c>
      <x:c r="D86" s="8" t="str">
        <x:v>早期争议复核导出.user_type</x:v>
      </x:c>
      <x:c r="E86" s="8" t="str">
        <x:v>工作与学习</x:v>
      </x:c>
      <x:c r="F86" s="8" t="str">
        <x:v>工作与学习</x:v>
      </x:c>
      <x:c r="G86" s="8" t="n">
        <x:v>0</x:v>
      </x:c>
      <x:c r="H86" s="8" t="n">
        <x:v>0</x:v>
      </x:c>
      <x:c r="I86" s="8" t="n">
        <x:v>0</x:v>
      </x:c>
      <x:c r="J86" s="8" t="n">
        <x:v>19</x:v>
      </x:c>
      <x:c r="K86" s="8" t="str">
        <x:v>["G032"]</x:v>
      </x:c>
      <x:c r="L86" s="8" t="str">
        <x:v>https://github.com/Sparkling-Flames/3D_Manhattan_label/blob/844a4694627e1eacc6bfb48911897335e48ecc17/data/mp3d_layout/test/img/B6ByNegPMKs_ce6c6753bebe462e804ec5a2fc8b0580.png</x:v>
      </x:c>
      <x:c r="M86" s="8" t="str">
        <x:v>B6ByNegPMKs_ce6c6753bebe462e804ec5a2fc8b0580</x:v>
      </x:c>
    </x:row>
    <x:row r="87" ht="44" customHeight="1">
      <x:c r="A87" s="8" t="str">
        <x:v>B6ByNegPMKs</x:v>
      </x:c>
      <x:c r="B87" s="8" t="n">
        <x:v>40</x:v>
      </x:c>
      <x:c r="C87" s="8" t="str">
        <x:v>通行与连接</x:v>
      </x:c>
      <x:c r="D87" s="8" t="str">
        <x:v>早期争议复核导出.user_type</x:v>
      </x:c>
      <x:c r="E87" s="8" t="str">
        <x:v>通行与连接</x:v>
      </x:c>
      <x:c r="F87" s="8" t="str">
        <x:v>通行与连接</x:v>
      </x:c>
      <x:c r="G87" s="8" t="n">
        <x:v>25</x:v>
      </x:c>
      <x:c r="H87" s="8" t="n">
        <x:v>19</x:v>
      </x:c>
      <x:c r="I87" s="8" t="n">
        <x:v>0</x:v>
      </x:c>
      <x:c r="J87" s="8" t="n">
        <x:v>0</x:v>
      </x:c>
      <x:c r="K87" s="8" t="str">
        <x:v>[]</x:v>
      </x:c>
      <x:c r="L87" s="8" t="str">
        <x:v>https://github.com/Sparkling-Flames/3D_Manhattan_label/blob/844a4694627e1eacc6bfb48911897335e48ecc17/data/mp3d_layout/test/img/B6ByNegPMKs_cee80ced97274e248d4ccaa582e12624.png</x:v>
      </x:c>
      <x:c r="M87" s="8" t="str">
        <x:v>B6ByNegPMKs_cee80ced97274e248d4ccaa582e12624</x:v>
      </x:c>
    </x:row>
    <x:row r="88" ht="44" customHeight="1">
      <x:c r="A88" s="8" t="str">
        <x:v>B6ByNegPMKs</x:v>
      </x:c>
      <x:c r="B88" s="8" t="n">
        <x:v>41</x:v>
      </x:c>
      <x:c r="C88" s="8" t="str">
        <x:v>工作与学习</x:v>
      </x:c>
      <x:c r="D88" s="8" t="str">
        <x:v>早期争议复核导出.user_type</x:v>
      </x:c>
      <x:c r="E88" s="8" t="str">
        <x:v>工作与学习</x:v>
      </x:c>
      <x:c r="F88" s="8" t="str">
        <x:v>工作与学习</x:v>
      </x:c>
      <x:c r="G88" s="8" t="n">
        <x:v>0</x:v>
      </x:c>
      <x:c r="H88" s="8" t="n">
        <x:v>0</x:v>
      </x:c>
      <x:c r="I88" s="8" t="n">
        <x:v>0</x:v>
      </x:c>
      <x:c r="J88" s="8" t="n">
        <x:v>19</x:v>
      </x:c>
      <x:c r="K88" s="8" t="str">
        <x:v>["G034"]</x:v>
      </x:c>
      <x:c r="L88" s="8" t="str">
        <x:v>https://github.com/Sparkling-Flames/3D_Manhattan_label/blob/844a4694627e1eacc6bfb48911897335e48ecc17/data/mp3d_layout/test/img/B6ByNegPMKs_cfb2c926a80a4fde93b0d58d49af6549.png</x:v>
      </x:c>
      <x:c r="M88" s="8" t="str">
        <x:v>B6ByNegPMKs_cfb2c926a80a4fde93b0d58d49af6549</x:v>
      </x:c>
    </x:row>
    <x:row r="89" ht="44" customHeight="1">
      <x:c r="A89" s="8" t="str">
        <x:v>B6ByNegPMKs</x:v>
      </x:c>
      <x:c r="B89" s="8" t="n">
        <x:v>42</x:v>
      </x:c>
      <x:c r="C89" s="8" t="str">
        <x:v>通行与连接</x:v>
      </x:c>
      <x:c r="D89" s="8" t="str">
        <x:v>早期争议复核导出.user_type</x:v>
      </x:c>
      <x:c r="E89" s="8" t="str">
        <x:v>通行与连接</x:v>
      </x:c>
      <x:c r="F89" s="8" t="str">
        <x:v>通行与连接</x:v>
      </x:c>
      <x:c r="G89" s="8" t="n">
        <x:v>0</x:v>
      </x:c>
      <x:c r="H89" s="8" t="n">
        <x:v>0</x:v>
      </x:c>
      <x:c r="I89" s="8" t="n">
        <x:v>0</x:v>
      </x:c>
      <x:c r="J89" s="8" t="n">
        <x:v>19</x:v>
      </x:c>
      <x:c r="K89" s="8" t="str">
        <x:v>[]</x:v>
      </x:c>
      <x:c r="L89" s="8" t="str">
        <x:v>https://github.com/Sparkling-Flames/3D_Manhattan_label/blob/844a4694627e1eacc6bfb48911897335e48ecc17/data/mp3d_layout/test/img/B6ByNegPMKs_d19d2ae4bddf4445a3c623edc0346937.png</x:v>
      </x:c>
      <x:c r="M89" s="8" t="str">
        <x:v>B6ByNegPMKs_d19d2ae4bddf4445a3c623edc0346937</x:v>
      </x:c>
    </x:row>
    <x:row r="90" ht="44" customHeight="1">
      <x:c r="A90" s="8" t="str">
        <x:v>B6ByNegPMKs</x:v>
      </x:c>
      <x:c r="B90" s="8" t="n">
        <x:v>43</x:v>
      </x:c>
      <x:c r="C90" s="8" t="str">
        <x:v>通行与连接</x:v>
      </x:c>
      <x:c r="D90" s="8" t="str">
        <x:v>早期争议复核导出.user_type</x:v>
      </x:c>
      <x:c r="E90" s="8" t="str">
        <x:v>连接</x:v>
      </x:c>
      <x:c r="F90" s="8" t="str">
        <x:v>无法判断</x:v>
      </x:c>
      <x:c r="G90" s="8" t="n">
        <x:v>0</x:v>
      </x:c>
      <x:c r="H90" s="8" t="n">
        <x:v>0</x:v>
      </x:c>
      <x:c r="I90" s="8" t="n">
        <x:v>0</x:v>
      </x:c>
      <x:c r="J90" s="8" t="n">
        <x:v>19</x:v>
      </x:c>
      <x:c r="K90" s="8" t="str">
        <x:v>["G038"]</x:v>
      </x:c>
      <x:c r="L90" s="8" t="str">
        <x:v>https://github.com/Sparkling-Flames/3D_Manhattan_label/blob/844a4694627e1eacc6bfb48911897335e48ecc17/data/mp3d_layout/test/img/B6ByNegPMKs_d2dcbd73533446dcaf50e6be98c30386.png</x:v>
      </x:c>
      <x:c r="M90" s="8" t="str">
        <x:v>B6ByNegPMKs_d2dcbd73533446dcaf50e6be98c30386</x:v>
      </x:c>
    </x:row>
    <x:row r="91" ht="44" customHeight="1">
      <x:c r="A91" s="8" t="str">
        <x:v>B6ByNegPMKs</x:v>
      </x:c>
      <x:c r="B91" s="8" t="n">
        <x:v>44</x:v>
      </x:c>
      <x:c r="C91" s="8" t="str">
        <x:v>工作与学习</x:v>
      </x:c>
      <x:c r="D91" s="8" t="str">
        <x:v>早期争议复核导出.user_type</x:v>
      </x:c>
      <x:c r="E91" s="8" t="str">
        <x:v>工作与学习</x:v>
      </x:c>
      <x:c r="F91" s="8" t="str">
        <x:v>工作与学习</x:v>
      </x:c>
      <x:c r="G91" s="8" t="n">
        <x:v>0</x:v>
      </x:c>
      <x:c r="H91" s="8" t="n">
        <x:v>0</x:v>
      </x:c>
      <x:c r="I91" s="8" t="n">
        <x:v>0</x:v>
      </x:c>
      <x:c r="J91" s="8" t="n">
        <x:v>19</x:v>
      </x:c>
      <x:c r="K91" s="8" t="str">
        <x:v>[]</x:v>
      </x:c>
      <x:c r="L91" s="8" t="str">
        <x:v>https://github.com/Sparkling-Flames/3D_Manhattan_label/blob/844a4694627e1eacc6bfb48911897335e48ecc17/data/mp3d_layout/test/img/B6ByNegPMKs_d7ade8d217fe4d068fc3629dd2510898.png</x:v>
      </x:c>
      <x:c r="M91" s="8" t="str">
        <x:v>B6ByNegPMKs_d7ade8d217fe4d068fc3629dd2510898</x:v>
      </x:c>
    </x:row>
    <x:row r="92" ht="44" customHeight="1">
      <x:c r="A92" s="8" t="str">
        <x:v>B6ByNegPMKs</x:v>
      </x:c>
      <x:c r="B92" s="8" t="n">
        <x:v>45</x:v>
      </x:c>
      <x:c r="C92" s="8" t="str">
        <x:v>通行与连接</x:v>
      </x:c>
      <x:c r="D92" s="8" t="str">
        <x:v>早期争议复核导出.user_type</x:v>
      </x:c>
      <x:c r="E92" s="8" t="str">
        <x:v>通行与连接</x:v>
      </x:c>
      <x:c r="F92" s="8" t="str">
        <x:v>通行与连接</x:v>
      </x:c>
      <x:c r="G92" s="8" t="n">
        <x:v>0</x:v>
      </x:c>
      <x:c r="H92" s="8" t="n">
        <x:v>0</x:v>
      </x:c>
      <x:c r="I92" s="8" t="n">
        <x:v>0</x:v>
      </x:c>
      <x:c r="J92" s="8" t="n">
        <x:v>19</x:v>
      </x:c>
      <x:c r="K92" s="8" t="str">
        <x:v>["G027"]</x:v>
      </x:c>
      <x:c r="L92" s="8" t="str">
        <x:v>https://github.com/Sparkling-Flames/3D_Manhattan_label/blob/844a4694627e1eacc6bfb48911897335e48ecc17/data/mp3d_layout/test/img/B6ByNegPMKs_dbc3c79b1ce74d209239b1572bd249bb.png</x:v>
      </x:c>
      <x:c r="M92" s="8" t="str">
        <x:v>B6ByNegPMKs_dbc3c79b1ce74d209239b1572bd249bb</x:v>
      </x:c>
    </x:row>
    <x:row r="93" ht="44" customHeight="1">
      <x:c r="A93" s="8" t="str">
        <x:v>B6ByNegPMKs</x:v>
      </x:c>
      <x:c r="B93" s="8" t="n">
        <x:v>46</x:v>
      </x:c>
      <x:c r="C93" s="8" t="str">
        <x:v>通行与连接</x:v>
      </x:c>
      <x:c r="D93" s="8" t="str">
        <x:v>早期争议复核导出.user_type</x:v>
      </x:c>
      <x:c r="E93" s="8" t="str">
        <x:v>通行与连接</x:v>
      </x:c>
      <x:c r="F93" s="8" t="str">
        <x:v>通行与连接</x:v>
      </x:c>
      <x:c r="G93" s="8" t="n">
        <x:v>0</x:v>
      </x:c>
      <x:c r="H93" s="8" t="n">
        <x:v>0</x:v>
      </x:c>
      <x:c r="I93" s="8" t="n">
        <x:v>0</x:v>
      </x:c>
      <x:c r="J93" s="8" t="n">
        <x:v>19</x:v>
      </x:c>
      <x:c r="K93" s="8" t="str">
        <x:v>[]</x:v>
      </x:c>
      <x:c r="L93" s="8" t="str">
        <x:v>https://github.com/Sparkling-Flames/3D_Manhattan_label/blob/844a4694627e1eacc6bfb48911897335e48ecc17/data/mp3d_layout/test/img/B6ByNegPMKs_dd1319e5f88a4dd88ccceee489e790cd.png</x:v>
      </x:c>
      <x:c r="M93" s="8" t="str">
        <x:v>B6ByNegPMKs_dd1319e5f88a4dd88ccceee489e790cd</x:v>
      </x:c>
    </x:row>
    <x:row r="94" ht="44" customHeight="1">
      <x:c r="A94" s="8" t="str">
        <x:v>B6ByNegPMKs</x:v>
      </x:c>
      <x:c r="B94" s="8" t="n">
        <x:v>47</x:v>
      </x:c>
      <x:c r="C94" s="8" t="str">
        <x:v>通行与连接</x:v>
      </x:c>
      <x:c r="D94" s="8" t="str">
        <x:v>早期争议复核导出.user_type</x:v>
      </x:c>
      <x:c r="E94" s="8" t="str">
        <x:v>通行与连接</x:v>
      </x:c>
      <x:c r="F94" s="8" t="str"/>
      <x:c r="G94" s="8" t="n">
        <x:v>5</x:v>
      </x:c>
      <x:c r="H94" s="8" t="n">
        <x:v>4</x:v>
      </x:c>
      <x:c r="I94" s="8" t="n">
        <x:v>0</x:v>
      </x:c>
      <x:c r="J94" s="8" t="n">
        <x:v>15</x:v>
      </x:c>
      <x:c r="K94" s="8" t="str">
        <x:v>["G037"]</x:v>
      </x:c>
      <x:c r="L94" s="8" t="str">
        <x:v>https://github.com/Sparkling-Flames/3D_Manhattan_label/blob/844a4694627e1eacc6bfb48911897335e48ecc17/data/mp3d_layout/test/img/B6ByNegPMKs_e26e2cb761894264a4a34b1046701f6b.png</x:v>
      </x:c>
      <x:c r="M94" s="8" t="str">
        <x:v>B6ByNegPMKs_e26e2cb761894264a4a34b1046701f6b</x:v>
      </x:c>
    </x:row>
    <x:row r="95" ht="44" customHeight="1">
      <x:c r="A95" s="8" t="str">
        <x:v>B6ByNegPMKs</x:v>
      </x:c>
      <x:c r="B95" s="8" t="n">
        <x:v>48</x:v>
      </x:c>
      <x:c r="C95" s="8" t="str">
        <x:v>通行与连接</x:v>
      </x:c>
      <x:c r="D95" s="8" t="str">
        <x:v>早期争议复核导出.user_type</x:v>
      </x:c>
      <x:c r="E95" s="8" t="str">
        <x:v>通行与连接</x:v>
      </x:c>
      <x:c r="F95" s="8" t="str">
        <x:v>通行与连接</x:v>
      </x:c>
      <x:c r="G95" s="8" t="n">
        <x:v>6</x:v>
      </x:c>
      <x:c r="H95" s="8" t="n">
        <x:v>4</x:v>
      </x:c>
      <x:c r="I95" s="8" t="n">
        <x:v>0</x:v>
      </x:c>
      <x:c r="J95" s="8" t="n">
        <x:v>15</x:v>
      </x:c>
      <x:c r="K95" s="8" t="str">
        <x:v>[]</x:v>
      </x:c>
      <x:c r="L95" s="8" t="str">
        <x:v>https://github.com/Sparkling-Flames/3D_Manhattan_label/blob/844a4694627e1eacc6bfb48911897335e48ecc17/data/mp3d_layout/test/img/B6ByNegPMKs_e52609aae11f42a79f6cf50360180fd5.png</x:v>
      </x:c>
      <x:c r="M95" s="8" t="str">
        <x:v>B6ByNegPMKs_e52609aae11f42a79f6cf50360180fd5</x:v>
      </x:c>
    </x:row>
    <x:row r="96" ht="44" customHeight="1">
      <x:c r="A96" s="8" t="str">
        <x:v>B6ByNegPMKs</x:v>
      </x:c>
      <x:c r="B96" s="8" t="n">
        <x:v>49</x:v>
      </x:c>
      <x:c r="C96" s="8" t="str">
        <x:v>通行与连接</x:v>
      </x:c>
      <x:c r="D96" s="8" t="str">
        <x:v>早期争议复核导出.user_type</x:v>
      </x:c>
      <x:c r="E96" s="8" t="str">
        <x:v>通行与连接</x:v>
      </x:c>
      <x:c r="F96" s="8" t="str">
        <x:v>通行与连接</x:v>
      </x:c>
      <x:c r="G96" s="8" t="n">
        <x:v>0</x:v>
      </x:c>
      <x:c r="H96" s="8" t="n">
        <x:v>0</x:v>
      </x:c>
      <x:c r="I96" s="8" t="n">
        <x:v>0</x:v>
      </x:c>
      <x:c r="J96" s="8" t="n">
        <x:v>19</x:v>
      </x:c>
      <x:c r="K96" s="8" t="str">
        <x:v>["G038", "G039"]</x:v>
      </x:c>
      <x:c r="L96" s="8" t="str">
        <x:v>https://github.com/Sparkling-Flames/3D_Manhattan_label/blob/844a4694627e1eacc6bfb48911897335e48ecc17/data/mp3d_layout/test/img/B6ByNegPMKs_e5567bd5fa2d4fde8a6b9f15e3274a7e.png</x:v>
      </x:c>
      <x:c r="M96" s="8" t="str">
        <x:v>B6ByNegPMKs_e5567bd5fa2d4fde8a6b9f15e3274a7e</x:v>
      </x:c>
    </x:row>
    <x:row r="97" ht="44" customHeight="1">
      <x:c r="A97" s="8" t="str">
        <x:v>B6ByNegPMKs</x:v>
      </x:c>
      <x:c r="B97" s="8" t="n">
        <x:v>50</x:v>
      </x:c>
      <x:c r="C97" s="8" t="str">
        <x:v>工作与学习</x:v>
      </x:c>
      <x:c r="D97" s="8" t="str">
        <x:v>早期争议复核导出.user_type</x:v>
      </x:c>
      <x:c r="E97" s="8" t="str">
        <x:v>工作与学习</x:v>
      </x:c>
      <x:c r="F97" s="8" t="str">
        <x:v>工作与学习</x:v>
      </x:c>
      <x:c r="G97" s="8" t="n">
        <x:v>5</x:v>
      </x:c>
      <x:c r="H97" s="8" t="n">
        <x:v>5</x:v>
      </x:c>
      <x:c r="I97" s="8" t="n">
        <x:v>0</x:v>
      </x:c>
      <x:c r="J97" s="8" t="n">
        <x:v>14</x:v>
      </x:c>
      <x:c r="K97" s="8" t="str">
        <x:v>[]</x:v>
      </x:c>
      <x:c r="L97" s="8" t="str">
        <x:v>https://github.com/Sparkling-Flames/3D_Manhattan_label/blob/844a4694627e1eacc6bfb48911897335e48ecc17/data/mp3d_layout/test/img/B6ByNegPMKs_ee063d1562c147f586ebb9f6fdb05ca6.png</x:v>
      </x:c>
      <x:c r="M97" s="8" t="str">
        <x:v>B6ByNegPMKs_ee063d1562c147f586ebb9f6fdb05ca6</x:v>
      </x:c>
    </x:row>
    <x:row r="98" ht="44" customHeight="1">
      <x:c r="A98" s="8" t="str">
        <x:v>B6ByNegPMKs</x:v>
      </x:c>
      <x:c r="B98" s="8" t="n">
        <x:v>51</x:v>
      </x:c>
      <x:c r="C98" s="8" t="str">
        <x:v>通行与连接</x:v>
      </x:c>
      <x:c r="D98" s="8" t="str">
        <x:v>早期争议复核导出.user_type</x:v>
      </x:c>
      <x:c r="E98" s="8" t="str">
        <x:v>通行与连接</x:v>
      </x:c>
      <x:c r="F98" s="8" t="str">
        <x:v>通行与连接</x:v>
      </x:c>
      <x:c r="G98" s="8" t="n">
        <x:v>0</x:v>
      </x:c>
      <x:c r="H98" s="8" t="n">
        <x:v>0</x:v>
      </x:c>
      <x:c r="I98" s="8" t="n">
        <x:v>0</x:v>
      </x:c>
      <x:c r="J98" s="8" t="n">
        <x:v>19</x:v>
      </x:c>
      <x:c r="K98" s="8" t="str">
        <x:v>["G039"]</x:v>
      </x:c>
      <x:c r="L98" s="8" t="str">
        <x:v>https://github.com/Sparkling-Flames/3D_Manhattan_label/blob/844a4694627e1eacc6bfb48911897335e48ecc17/data/mp3d_layout/test/img/B6ByNegPMKs_f701cece31304e16a3faa7f225bfdaa8.png</x:v>
      </x:c>
      <x:c r="M98" s="8" t="str">
        <x:v>B6ByNegPMKs_f701cece31304e16a3faa7f225bfdaa8</x:v>
      </x:c>
    </x:row>
    <x:row r="99" ht="44" customHeight="1">
      <x:c r="A99" s="8" t="str">
        <x:v>S9hNv5qa7GM</x:v>
      </x:c>
      <x:c r="B99" s="8" t="n">
        <x:v>1</x:v>
      </x:c>
      <x:c r="C99" s="8" t="str">
        <x:v>卫浴</x:v>
      </x:c>
      <x:c r="D99" s="8" t="str">
        <x:v>早期争议复核导出.user_type</x:v>
      </x:c>
      <x:c r="E99" s="8" t="str">
        <x:v>卫浴</x:v>
      </x:c>
      <x:c r="F99" s="8" t="str">
        <x:v>卫浴</x:v>
      </x:c>
      <x:c r="G99" s="8" t="n">
        <x:v>20</x:v>
      </x:c>
      <x:c r="H99" s="8" t="n">
        <x:v>19</x:v>
      </x:c>
      <x:c r="I99" s="8" t="n">
        <x:v>0</x:v>
      </x:c>
      <x:c r="J99" s="8" t="n">
        <x:v>0</x:v>
      </x:c>
      <x:c r="K99" s="8" t="str">
        <x:v>["G040", "G041"]</x:v>
      </x:c>
      <x:c r="L99" s="8" t="str">
        <x:v>https://github.com/Sparkling-Flames/3D_Manhattan_label/blob/844a4694627e1eacc6bfb48911897335e48ecc17/data/mp3d_layout/valid/img/S9hNv5qa7GM_0c2a97f049db4a429776940850fedf2e.png</x:v>
      </x:c>
      <x:c r="M99" s="8" t="str">
        <x:v>S9hNv5qa7GM_0c2a97f049db4a429776940850fedf2e</x:v>
      </x:c>
    </x:row>
    <x:row r="100" ht="44" customHeight="1">
      <x:c r="A100" s="8" t="str">
        <x:v>S9hNv5qa7GM</x:v>
      </x:c>
      <x:c r="B100" s="8" t="n">
        <x:v>2</x:v>
      </x:c>
      <x:c r="C100" s="8" t="str">
        <x:v>厨房与用餐</x:v>
      </x:c>
      <x:c r="D100" s="8" t="str">
        <x:v>早期争议复核导出.user_type</x:v>
      </x:c>
      <x:c r="E100" s="8" t="str">
        <x:v>厨房与用餐</x:v>
      </x:c>
      <x:c r="F100" s="8" t="str">
        <x:v>厨房与用餐</x:v>
      </x:c>
      <x:c r="G100" s="8" t="n">
        <x:v>0</x:v>
      </x:c>
      <x:c r="H100" s="8" t="n">
        <x:v>0</x:v>
      </x:c>
      <x:c r="I100" s="8" t="n">
        <x:v>0</x:v>
      </x:c>
      <x:c r="J100" s="8" t="n">
        <x:v>19</x:v>
      </x:c>
      <x:c r="K100" s="8" t="str">
        <x:v>["G042", "G043"]</x:v>
      </x:c>
      <x:c r="L100" s="8" t="str">
        <x:v>https://github.com/Sparkling-Flames/3D_Manhattan_label/blob/844a4694627e1eacc6bfb48911897335e48ecc17/data/mp3d_layout/valid/img/S9hNv5qa7GM_181c56d99ddd42ba8d4be09dbb135381.png</x:v>
      </x:c>
      <x:c r="M100" s="8" t="str">
        <x:v>S9hNv5qa7GM_181c56d99ddd42ba8d4be09dbb135381</x:v>
      </x:c>
    </x:row>
    <x:row r="101" ht="44" customHeight="1">
      <x:c r="A101" s="8" t="str">
        <x:v>S9hNv5qa7GM</x:v>
      </x:c>
      <x:c r="B101" s="8" t="n">
        <x:v>3</x:v>
      </x:c>
      <x:c r="C101" s="8" t="str">
        <x:v>卧室</x:v>
      </x:c>
      <x:c r="D101" s="8" t="str">
        <x:v>早期争议复核导出.user_type</x:v>
      </x:c>
      <x:c r="E101" s="8" t="str">
        <x:v>卧室</x:v>
      </x:c>
      <x:c r="F101" s="8" t="str">
        <x:v>卧室</x:v>
      </x:c>
      <x:c r="G101" s="8" t="n">
        <x:v>0</x:v>
      </x:c>
      <x:c r="H101" s="8" t="n">
        <x:v>0</x:v>
      </x:c>
      <x:c r="I101" s="8" t="n">
        <x:v>0</x:v>
      </x:c>
      <x:c r="J101" s="8" t="n">
        <x:v>19</x:v>
      </x:c>
      <x:c r="K101" s="8" t="str">
        <x:v>["G044"]</x:v>
      </x:c>
      <x:c r="L101" s="8" t="str">
        <x:v>https://github.com/Sparkling-Flames/3D_Manhattan_label/blob/844a4694627e1eacc6bfb48911897335e48ecc17/data/mp3d_layout/valid/img/S9hNv5qa7GM_27869fb0e3414f2687b9580b335ec615.png</x:v>
      </x:c>
      <x:c r="M101" s="8" t="str">
        <x:v>S9hNv5qa7GM_27869fb0e3414f2687b9580b335ec615</x:v>
      </x:c>
    </x:row>
    <x:row r="102" ht="44" customHeight="1">
      <x:c r="A102" s="8" t="str">
        <x:v>S9hNv5qa7GM</x:v>
      </x:c>
      <x:c r="B102" s="8" t="n">
        <x:v>4</x:v>
      </x:c>
      <x:c r="C102" s="8" t="str">
        <x:v>卫浴</x:v>
      </x:c>
      <x:c r="D102" s="8" t="str">
        <x:v>后续41图亲审.current_classification.coarse_type</x:v>
      </x:c>
      <x:c r="E102" s="8" t="str">
        <x:v>卫浴</x:v>
      </x:c>
      <x:c r="F102" s="8" t="str">
        <x:v>卫浴</x:v>
      </x:c>
      <x:c r="G102" s="8" t="n">
        <x:v>1</x:v>
      </x:c>
      <x:c r="H102" s="8" t="n">
        <x:v>0</x:v>
      </x:c>
      <x:c r="I102" s="8" t="n">
        <x:v>0</x:v>
      </x:c>
      <x:c r="J102" s="8" t="n">
        <x:v>19</x:v>
      </x:c>
      <x:c r="K102" s="8" t="str">
        <x:v>["G040", "G045"]</x:v>
      </x:c>
      <x:c r="L102" s="8" t="str">
        <x:v>https://github.com/Sparkling-Flames/3D_Manhattan_label/blob/844a4694627e1eacc6bfb48911897335e48ecc17/data/mp3d_layout/valid/img/S9hNv5qa7GM_2ea5348654d24115bba3dcdb21fa655e.png</x:v>
      </x:c>
      <x:c r="M102" s="8" t="str">
        <x:v>S9hNv5qa7GM_2ea5348654d24115bba3dcdb21fa655e</x:v>
      </x:c>
    </x:row>
    <x:row r="103" ht="44" customHeight="1">
      <x:c r="A103" s="8" t="str">
        <x:v>S9hNv5qa7GM</x:v>
      </x:c>
      <x:c r="B103" s="8" t="n">
        <x:v>5</x:v>
      </x:c>
      <x:c r="C103" s="8" t="str">
        <x:v>卫浴</x:v>
      </x:c>
      <x:c r="D103" s="8" t="str">
        <x:v>早期争议复核导出.user_type</x:v>
      </x:c>
      <x:c r="E103" s="8" t="str">
        <x:v>卫浴</x:v>
      </x:c>
      <x:c r="F103" s="8" t="str">
        <x:v>卫浴</x:v>
      </x:c>
      <x:c r="G103" s="8" t="n">
        <x:v>2</x:v>
      </x:c>
      <x:c r="H103" s="8" t="n">
        <x:v>2</x:v>
      </x:c>
      <x:c r="I103" s="8" t="n">
        <x:v>0</x:v>
      </x:c>
      <x:c r="J103" s="8" t="n">
        <x:v>17</x:v>
      </x:c>
      <x:c r="K103" s="8" t="str">
        <x:v>["G046"]</x:v>
      </x:c>
      <x:c r="L103" s="8" t="str">
        <x:v>https://github.com/Sparkling-Flames/3D_Manhattan_label/blob/844a4694627e1eacc6bfb48911897335e48ecc17/data/mp3d_layout/valid/img/S9hNv5qa7GM_322a5d3bbca1428fb92d39bfc6e603ee.png</x:v>
      </x:c>
      <x:c r="M103" s="8" t="str">
        <x:v>S9hNv5qa7GM_322a5d3bbca1428fb92d39bfc6e603ee</x:v>
      </x:c>
    </x:row>
    <x:row r="104" ht="44" customHeight="1">
      <x:c r="A104" s="8" t="str">
        <x:v>S9hNv5qa7GM</x:v>
      </x:c>
      <x:c r="B104" s="8" t="n">
        <x:v>6</x:v>
      </x:c>
      <x:c r="C104" s="8" t="str">
        <x:v>卧室</x:v>
      </x:c>
      <x:c r="D104" s="8" t="str">
        <x:v>早期争议复核导出.user_type</x:v>
      </x:c>
      <x:c r="E104" s="8" t="str">
        <x:v>卧室</x:v>
      </x:c>
      <x:c r="F104" s="8" t="str">
        <x:v>卧室</x:v>
      </x:c>
      <x:c r="G104" s="8" t="n">
        <x:v>0</x:v>
      </x:c>
      <x:c r="H104" s="8" t="n">
        <x:v>0</x:v>
      </x:c>
      <x:c r="I104" s="8" t="n">
        <x:v>0</x:v>
      </x:c>
      <x:c r="J104" s="8" t="n">
        <x:v>19</x:v>
      </x:c>
      <x:c r="K104" s="8" t="str">
        <x:v>["G047"]</x:v>
      </x:c>
      <x:c r="L104" s="8" t="str">
        <x:v>https://github.com/Sparkling-Flames/3D_Manhattan_label/blob/844a4694627e1eacc6bfb48911897335e48ecc17/data/mp3d_layout/valid/img/S9hNv5qa7GM_3c496aedd9d645a5b8d7a7b1b53f0636.png</x:v>
      </x:c>
      <x:c r="M104" s="8" t="str">
        <x:v>S9hNv5qa7GM_3c496aedd9d645a5b8d7a7b1b53f0636</x:v>
      </x:c>
    </x:row>
    <x:row r="105" ht="44" customHeight="1">
      <x:c r="A105" s="8" t="str">
        <x:v>S9hNv5qa7GM</x:v>
      </x:c>
      <x:c r="B105" s="8" t="n">
        <x:v>7</x:v>
      </x:c>
      <x:c r="C105" s="8" t="str">
        <x:v>待拆解(null)</x:v>
      </x:c>
      <x:c r="D105" s="8" t="str">
        <x:v>早期争议复核导出.user_type</x:v>
      </x:c>
      <x:c r="E105" s="8" t="str">
        <x:v>复合／待定</x:v>
      </x:c>
      <x:c r="F105" s="8" t="str">
        <x:v>无法判断</x:v>
      </x:c>
      <x:c r="G105" s="8" t="n">
        <x:v>4</x:v>
      </x:c>
      <x:c r="H105" s="8" t="n">
        <x:v>4</x:v>
      </x:c>
      <x:c r="I105" s="8" t="n">
        <x:v>0</x:v>
      </x:c>
      <x:c r="J105" s="8" t="n">
        <x:v>15</x:v>
      </x:c>
      <x:c r="K105" s="8" t="str">
        <x:v>["G048"]</x:v>
      </x:c>
      <x:c r="L105" s="8" t="str">
        <x:v>https://github.com/Sparkling-Flames/3D_Manhattan_label/blob/844a4694627e1eacc6bfb48911897335e48ecc17/data/mp3d_layout/valid/img/S9hNv5qa7GM_53d54b73e58940019b731673e65c1902.png</x:v>
      </x:c>
      <x:c r="M105" s="8" t="str">
        <x:v>S9hNv5qa7GM_53d54b73e58940019b731673e65c1902</x:v>
      </x:c>
    </x:row>
    <x:row r="106" ht="44" customHeight="1">
      <x:c r="A106" s="8" t="str">
        <x:v>S9hNv5qa7GM</x:v>
      </x:c>
      <x:c r="B106" s="8" t="n">
        <x:v>8</x:v>
      </x:c>
      <x:c r="C106" s="8" t="str">
        <x:v>待拆解(null)</x:v>
      </x:c>
      <x:c r="D106" s="8" t="str">
        <x:v>早期争议复核导出.user_type</x:v>
      </x:c>
      <x:c r="E106" s="8" t="str">
        <x:v>复合／待定</x:v>
      </x:c>
      <x:c r="F106" s="8" t="str">
        <x:v>卫浴</x:v>
      </x:c>
      <x:c r="G106" s="8" t="n">
        <x:v>0</x:v>
      </x:c>
      <x:c r="H106" s="8" t="n">
        <x:v>0</x:v>
      </x:c>
      <x:c r="I106" s="8" t="n">
        <x:v>0</x:v>
      </x:c>
      <x:c r="J106" s="8" t="n">
        <x:v>19</x:v>
      </x:c>
      <x:c r="K106" s="8" t="str">
        <x:v>["G045"]</x:v>
      </x:c>
      <x:c r="L106" s="8" t="str">
        <x:v>https://github.com/Sparkling-Flames/3D_Manhattan_label/blob/844a4694627e1eacc6bfb48911897335e48ecc17/data/mp3d_layout/valid/img/S9hNv5qa7GM_5a89e430e6fb471189468fb44bbea75c.png</x:v>
      </x:c>
      <x:c r="M106" s="8" t="str">
        <x:v>S9hNv5qa7GM_5a89e430e6fb471189468fb44bbea75c</x:v>
      </x:c>
    </x:row>
    <x:row r="107" ht="44" customHeight="1">
      <x:c r="A107" s="8" t="str">
        <x:v>S9hNv5qa7GM</x:v>
      </x:c>
      <x:c r="B107" s="8" t="n">
        <x:v>9</x:v>
      </x:c>
      <x:c r="C107" s="8" t="str">
        <x:v>通行与连接</x:v>
      </x:c>
      <x:c r="D107" s="8" t="str">
        <x:v>早期争议复核导出.user_type</x:v>
      </x:c>
      <x:c r="E107" s="8" t="str">
        <x:v>通行与连接</x:v>
      </x:c>
      <x:c r="F107" s="8" t="str">
        <x:v>通行与连接</x:v>
      </x:c>
      <x:c r="G107" s="8" t="n">
        <x:v>1</x:v>
      </x:c>
      <x:c r="H107" s="8" t="n">
        <x:v>1</x:v>
      </x:c>
      <x:c r="I107" s="8" t="n">
        <x:v>0</x:v>
      </x:c>
      <x:c r="J107" s="8" t="n">
        <x:v>18</x:v>
      </x:c>
      <x:c r="K107" s="8" t="str">
        <x:v>[]</x:v>
      </x:c>
      <x:c r="L107" s="8" t="str">
        <x:v>https://github.com/Sparkling-Flames/3D_Manhattan_label/blob/844a4694627e1eacc6bfb48911897335e48ecc17/data/mp3d_layout/valid/img/S9hNv5qa7GM_625eb179629b45f280c01d3f6ec74b4f.png</x:v>
      </x:c>
      <x:c r="M107" s="8" t="str">
        <x:v>S9hNv5qa7GM_625eb179629b45f280c01d3f6ec74b4f</x:v>
      </x:c>
    </x:row>
    <x:row r="108" ht="44" customHeight="1">
      <x:c r="A108" s="8" t="str">
        <x:v>S9hNv5qa7GM</x:v>
      </x:c>
      <x:c r="B108" s="8" t="n">
        <x:v>10</x:v>
      </x:c>
      <x:c r="C108" s="8" t="str">
        <x:v>卧室</x:v>
      </x:c>
      <x:c r="D108" s="8" t="str">
        <x:v>早期争议复核导出.user_type</x:v>
      </x:c>
      <x:c r="E108" s="8" t="str">
        <x:v>卧室</x:v>
      </x:c>
      <x:c r="F108" s="8" t="str">
        <x:v>卧室</x:v>
      </x:c>
      <x:c r="G108" s="8" t="n">
        <x:v>0</x:v>
      </x:c>
      <x:c r="H108" s="8" t="n">
        <x:v>0</x:v>
      </x:c>
      <x:c r="I108" s="8" t="n">
        <x:v>0</x:v>
      </x:c>
      <x:c r="J108" s="8" t="n">
        <x:v>19</x:v>
      </x:c>
      <x:c r="K108" s="8" t="str">
        <x:v>["G047"]</x:v>
      </x:c>
      <x:c r="L108" s="8" t="str">
        <x:v>https://github.com/Sparkling-Flames/3D_Manhattan_label/blob/844a4694627e1eacc6bfb48911897335e48ecc17/data/mp3d_layout/valid/img/S9hNv5qa7GM_674b3b6705604a4c8b89182edee11e54.png</x:v>
      </x:c>
      <x:c r="M108" s="8" t="str">
        <x:v>S9hNv5qa7GM_674b3b6705604a4c8b89182edee11e54</x:v>
      </x:c>
    </x:row>
    <x:row r="109" ht="44" customHeight="1">
      <x:c r="A109" s="8" t="str">
        <x:v>S9hNv5qa7GM</x:v>
      </x:c>
      <x:c r="B109" s="8" t="n">
        <x:v>11</x:v>
      </x:c>
      <x:c r="C109" s="8" t="str">
        <x:v>卧室</x:v>
      </x:c>
      <x:c r="D109" s="8" t="str">
        <x:v>早期争议复核导出.user_type</x:v>
      </x:c>
      <x:c r="E109" s="8" t="str">
        <x:v>卧室</x:v>
      </x:c>
      <x:c r="F109" s="8" t="str">
        <x:v>卧室</x:v>
      </x:c>
      <x:c r="G109" s="8" t="n">
        <x:v>0</x:v>
      </x:c>
      <x:c r="H109" s="8" t="n">
        <x:v>0</x:v>
      </x:c>
      <x:c r="I109" s="8" t="n">
        <x:v>0</x:v>
      </x:c>
      <x:c r="J109" s="8" t="n">
        <x:v>19</x:v>
      </x:c>
      <x:c r="K109" s="8" t="str">
        <x:v>["G044"]</x:v>
      </x:c>
      <x:c r="L109" s="8" t="str">
        <x:v>https://github.com/Sparkling-Flames/3D_Manhattan_label/blob/844a4694627e1eacc6bfb48911897335e48ecc17/data/mp3d_layout/valid/img/S9hNv5qa7GM_743e6d37beae4b6482a43ae41e634e67.png</x:v>
      </x:c>
      <x:c r="M109" s="8" t="str">
        <x:v>S9hNv5qa7GM_743e6d37beae4b6482a43ae41e634e67</x:v>
      </x:c>
    </x:row>
    <x:row r="110" ht="44" customHeight="1">
      <x:c r="A110" s="8" t="str">
        <x:v>S9hNv5qa7GM</x:v>
      </x:c>
      <x:c r="B110" s="8" t="n">
        <x:v>12</x:v>
      </x:c>
      <x:c r="C110" s="8" t="str">
        <x:v>卫浴</x:v>
      </x:c>
      <x:c r="D110" s="8" t="str">
        <x:v>早期争议复核导出.user_type</x:v>
      </x:c>
      <x:c r="E110" s="8" t="str">
        <x:v>卫浴</x:v>
      </x:c>
      <x:c r="F110" s="8" t="str">
        <x:v>卫浴</x:v>
      </x:c>
      <x:c r="G110" s="8" t="n">
        <x:v>2</x:v>
      </x:c>
      <x:c r="H110" s="8" t="n">
        <x:v>1</x:v>
      </x:c>
      <x:c r="I110" s="8" t="n">
        <x:v>0</x:v>
      </x:c>
      <x:c r="J110" s="8" t="n">
        <x:v>18</x:v>
      </x:c>
      <x:c r="K110" s="8" t="str">
        <x:v>["G046"]</x:v>
      </x:c>
      <x:c r="L110" s="8" t="str">
        <x:v>https://github.com/Sparkling-Flames/3D_Manhattan_label/blob/844a4694627e1eacc6bfb48911897335e48ecc17/data/mp3d_layout/valid/img/S9hNv5qa7GM_8b55e4f095374cfe8ddb0fda0f0dfa02.png</x:v>
      </x:c>
      <x:c r="M110" s="8" t="str">
        <x:v>S9hNv5qa7GM_8b55e4f095374cfe8ddb0fda0f0dfa02</x:v>
      </x:c>
    </x:row>
    <x:row r="111" ht="44" customHeight="1">
      <x:c r="A111" s="8" t="str">
        <x:v>S9hNv5qa7GM</x:v>
      </x:c>
      <x:c r="B111" s="8" t="n">
        <x:v>13</x:v>
      </x:c>
      <x:c r="C111" s="8" t="str">
        <x:v>储藏与家务辅助</x:v>
      </x:c>
      <x:c r="D111" s="8" t="str">
        <x:v>早期争议复核导出.user_type</x:v>
      </x:c>
      <x:c r="E111" s="8" t="str">
        <x:v>储藏与家务辅助</x:v>
      </x:c>
      <x:c r="F111" s="8" t="str">
        <x:v>储藏与家务辅助</x:v>
      </x:c>
      <x:c r="G111" s="8" t="n">
        <x:v>0</x:v>
      </x:c>
      <x:c r="H111" s="8" t="n">
        <x:v>0</x:v>
      </x:c>
      <x:c r="I111" s="8" t="n">
        <x:v>0</x:v>
      </x:c>
      <x:c r="J111" s="8" t="n">
        <x:v>19</x:v>
      </x:c>
      <x:c r="K111" s="8" t="str">
        <x:v>[]</x:v>
      </x:c>
      <x:c r="L111" s="8" t="str">
        <x:v>https://github.com/Sparkling-Flames/3D_Manhattan_label/blob/844a4694627e1eacc6bfb48911897335e48ecc17/data/mp3d_layout/valid/img/S9hNv5qa7GM_947f02de64db4ccbbe220a9f9124a815.png</x:v>
      </x:c>
      <x:c r="M111" s="8" t="str">
        <x:v>S9hNv5qa7GM_947f02de64db4ccbbe220a9f9124a815</x:v>
      </x:c>
    </x:row>
    <x:row r="112" ht="44" customHeight="1">
      <x:c r="A112" s="8" t="str">
        <x:v>S9hNv5qa7GM</x:v>
      </x:c>
      <x:c r="B112" s="8" t="n">
        <x:v>14</x:v>
      </x:c>
      <x:c r="C112" s="8" t="str">
        <x:v>厨房与用餐</x:v>
      </x:c>
      <x:c r="D112" s="8" t="str">
        <x:v>早期争议复核导出.user_type</x:v>
      </x:c>
      <x:c r="E112" s="8" t="str">
        <x:v>厨房与用餐</x:v>
      </x:c>
      <x:c r="F112" s="8" t="str">
        <x:v>厨房与用餐</x:v>
      </x:c>
      <x:c r="G112" s="8" t="n">
        <x:v>0</x:v>
      </x:c>
      <x:c r="H112" s="8" t="n">
        <x:v>0</x:v>
      </x:c>
      <x:c r="I112" s="8" t="n">
        <x:v>0</x:v>
      </x:c>
      <x:c r="J112" s="8" t="n">
        <x:v>19</x:v>
      </x:c>
      <x:c r="K112" s="8" t="str">
        <x:v>["G042"]</x:v>
      </x:c>
      <x:c r="L112" s="8" t="str">
        <x:v>https://github.com/Sparkling-Flames/3D_Manhattan_label/blob/844a4694627e1eacc6bfb48911897335e48ecc17/data/mp3d_layout/valid/img/S9hNv5qa7GM_b14dbfea048449aa8b8934cbf491a10a.png</x:v>
      </x:c>
      <x:c r="M112" s="8" t="str">
        <x:v>S9hNv5qa7GM_b14dbfea048449aa8b8934cbf491a10a</x:v>
      </x:c>
    </x:row>
    <x:row r="113" ht="44" customHeight="1">
      <x:c r="A113" s="8" t="str">
        <x:v>S9hNv5qa7GM</x:v>
      </x:c>
      <x:c r="B113" s="8" t="n">
        <x:v>15</x:v>
      </x:c>
      <x:c r="C113" s="8" t="str">
        <x:v>卧室</x:v>
      </x:c>
      <x:c r="D113" s="8" t="str">
        <x:v>早期争议复核导出.user_type</x:v>
      </x:c>
      <x:c r="E113" s="8" t="str">
        <x:v>卧室</x:v>
      </x:c>
      <x:c r="F113" s="8" t="str">
        <x:v>卧室</x:v>
      </x:c>
      <x:c r="G113" s="8" t="n">
        <x:v>20</x:v>
      </x:c>
      <x:c r="H113" s="8" t="n">
        <x:v>19</x:v>
      </x:c>
      <x:c r="I113" s="8" t="n">
        <x:v>0</x:v>
      </x:c>
      <x:c r="J113" s="8" t="n">
        <x:v>0</x:v>
      </x:c>
      <x:c r="K113" s="8" t="str">
        <x:v>["G047"]</x:v>
      </x:c>
      <x:c r="L113" s="8" t="str">
        <x:v>https://github.com/Sparkling-Flames/3D_Manhattan_label/blob/844a4694627e1eacc6bfb48911897335e48ecc17/data/mp3d_layout/valid/img/S9hNv5qa7GM_bd9faec23bb3462c94a5fbc6c0a3d5cf.png</x:v>
      </x:c>
      <x:c r="M113" s="8" t="str">
        <x:v>S9hNv5qa7GM_bd9faec23bb3462c94a5fbc6c0a3d5cf</x:v>
      </x:c>
    </x:row>
    <x:row r="114" ht="44" customHeight="1">
      <x:c r="A114" s="8" t="str">
        <x:v>S9hNv5qa7GM</x:v>
      </x:c>
      <x:c r="B114" s="8" t="n">
        <x:v>16</x:v>
      </x:c>
      <x:c r="C114" s="8" t="str">
        <x:v>厨房与用餐</x:v>
      </x:c>
      <x:c r="D114" s="8" t="str">
        <x:v>早期争议复核导出.user_type</x:v>
      </x:c>
      <x:c r="E114" s="8" t="str">
        <x:v>厨房与用餐</x:v>
      </x:c>
      <x:c r="F114" s="8" t="str">
        <x:v>厨房与用餐</x:v>
      </x:c>
      <x:c r="G114" s="8" t="n">
        <x:v>0</x:v>
      </x:c>
      <x:c r="H114" s="8" t="n">
        <x:v>0</x:v>
      </x:c>
      <x:c r="I114" s="8" t="n">
        <x:v>0</x:v>
      </x:c>
      <x:c r="J114" s="8" t="n">
        <x:v>19</x:v>
      </x:c>
      <x:c r="K114" s="8" t="str">
        <x:v>["G043"]</x:v>
      </x:c>
      <x:c r="L114" s="8" t="str">
        <x:v>https://github.com/Sparkling-Flames/3D_Manhattan_label/blob/844a4694627e1eacc6bfb48911897335e48ecc17/data/mp3d_layout/valid/img/S9hNv5qa7GM_cdafd704291841daaa57ce008a95a06a.png</x:v>
      </x:c>
      <x:c r="M114" s="8" t="str">
        <x:v>S9hNv5qa7GM_cdafd704291841daaa57ce008a95a06a</x:v>
      </x:c>
    </x:row>
    <x:row r="115" ht="44" customHeight="1">
      <x:c r="A115" s="8" t="str">
        <x:v>S9hNv5qa7GM</x:v>
      </x:c>
      <x:c r="B115" s="8" t="n">
        <x:v>17</x:v>
      </x:c>
      <x:c r="C115" s="8" t="str">
        <x:v>卧室</x:v>
      </x:c>
      <x:c r="D115" s="8" t="str">
        <x:v>早期争议复核导出.user_type</x:v>
      </x:c>
      <x:c r="E115" s="8" t="str">
        <x:v>卧室</x:v>
      </x:c>
      <x:c r="F115" s="8" t="str">
        <x:v>卧室</x:v>
      </x:c>
      <x:c r="G115" s="8" t="n">
        <x:v>0</x:v>
      </x:c>
      <x:c r="H115" s="8" t="n">
        <x:v>0</x:v>
      </x:c>
      <x:c r="I115" s="8" t="n">
        <x:v>0</x:v>
      </x:c>
      <x:c r="J115" s="8" t="n">
        <x:v>19</x:v>
      </x:c>
      <x:c r="K115" s="8" t="str">
        <x:v>["G047"]</x:v>
      </x:c>
      <x:c r="L115" s="8" t="str">
        <x:v>https://github.com/Sparkling-Flames/3D_Manhattan_label/blob/844a4694627e1eacc6bfb48911897335e48ecc17/data/mp3d_layout/valid/img/S9hNv5qa7GM_dbcf0a37c275473094e1160770291679.png</x:v>
      </x:c>
      <x:c r="M115" s="8" t="str">
        <x:v>S9hNv5qa7GM_dbcf0a37c275473094e1160770291679</x:v>
      </x:c>
    </x:row>
    <x:row r="116" ht="44" customHeight="1">
      <x:c r="A116" s="8" t="str">
        <x:v>S9hNv5qa7GM</x:v>
      </x:c>
      <x:c r="B116" s="8" t="n">
        <x:v>18</x:v>
      </x:c>
      <x:c r="C116" s="8" t="str">
        <x:v>卫浴</x:v>
      </x:c>
      <x:c r="D116" s="8" t="str">
        <x:v>早期争议复核导出.user_type</x:v>
      </x:c>
      <x:c r="E116" s="8" t="str">
        <x:v>卫浴</x:v>
      </x:c>
      <x:c r="F116" s="8" t="str">
        <x:v>卫浴</x:v>
      </x:c>
      <x:c r="G116" s="8" t="n">
        <x:v>2</x:v>
      </x:c>
      <x:c r="H116" s="8" t="n">
        <x:v>2</x:v>
      </x:c>
      <x:c r="I116" s="8" t="n">
        <x:v>0</x:v>
      </x:c>
      <x:c r="J116" s="8" t="n">
        <x:v>17</x:v>
      </x:c>
      <x:c r="K116" s="8" t="str">
        <x:v>["G041"]</x:v>
      </x:c>
      <x:c r="L116" s="8" t="str">
        <x:v>https://github.com/Sparkling-Flames/3D_Manhattan_label/blob/844a4694627e1eacc6bfb48911897335e48ecc17/data/mp3d_layout/valid/img/S9hNv5qa7GM_dcced7b92f444b9a83bd7d54413fa486.png</x:v>
      </x:c>
      <x:c r="M116" s="8" t="str">
        <x:v>S9hNv5qa7GM_dcced7b92f444b9a83bd7d54413fa486</x:v>
      </x:c>
    </x:row>
    <x:row r="117" ht="44" customHeight="1">
      <x:c r="A117" s="8" t="str">
        <x:v>S9hNv5qa7GM</x:v>
      </x:c>
      <x:c r="B117" s="8" t="n">
        <x:v>19</x:v>
      </x:c>
      <x:c r="C117" s="8" t="str">
        <x:v>卧室</x:v>
      </x:c>
      <x:c r="D117" s="8" t="str">
        <x:v>早期争议复核导出.user_type</x:v>
      </x:c>
      <x:c r="E117" s="8" t="str">
        <x:v>卧室</x:v>
      </x:c>
      <x:c r="F117" s="8" t="str">
        <x:v>卧室</x:v>
      </x:c>
      <x:c r="G117" s="8" t="n">
        <x:v>0</x:v>
      </x:c>
      <x:c r="H117" s="8" t="n">
        <x:v>0</x:v>
      </x:c>
      <x:c r="I117" s="8" t="n">
        <x:v>0</x:v>
      </x:c>
      <x:c r="J117" s="8" t="n">
        <x:v>19</x:v>
      </x:c>
      <x:c r="K117" s="8" t="str">
        <x:v>["G047"]</x:v>
      </x:c>
      <x:c r="L117" s="8" t="str">
        <x:v>https://github.com/Sparkling-Flames/3D_Manhattan_label/blob/844a4694627e1eacc6bfb48911897335e48ecc17/data/mp3d_layout/valid/img/S9hNv5qa7GM_e5e6c99e38014827b50ad33cd22e3c9d.png</x:v>
      </x:c>
      <x:c r="M117" s="8" t="str">
        <x:v>S9hNv5qa7GM_e5e6c99e38014827b50ad33cd22e3c9d</x:v>
      </x:c>
    </x:row>
    <x:row r="118" ht="44" customHeight="1">
      <x:c r="A118" s="8" t="str">
        <x:v>S9hNv5qa7GM</x:v>
      </x:c>
      <x:c r="B118" s="8" t="n">
        <x:v>20</x:v>
      </x:c>
      <x:c r="C118" s="8" t="str">
        <x:v>卧室</x:v>
      </x:c>
      <x:c r="D118" s="8" t="str">
        <x:v>早期争议复核导出.user_type</x:v>
      </x:c>
      <x:c r="E118" s="8" t="str">
        <x:v>卧室</x:v>
      </x:c>
      <x:c r="F118" s="8" t="str">
        <x:v>卧室</x:v>
      </x:c>
      <x:c r="G118" s="8" t="n">
        <x:v>1</x:v>
      </x:c>
      <x:c r="H118" s="8" t="n">
        <x:v>1</x:v>
      </x:c>
      <x:c r="I118" s="8" t="n">
        <x:v>0</x:v>
      </x:c>
      <x:c r="J118" s="8" t="n">
        <x:v>18</x:v>
      </x:c>
      <x:c r="K118" s="8" t="str">
        <x:v>[]</x:v>
      </x:c>
      <x:c r="L118" s="8" t="str">
        <x:v>https://github.com/Sparkling-Flames/3D_Manhattan_label/blob/844a4694627e1eacc6bfb48911897335e48ecc17/data/mp3d_layout/valid/img/S9hNv5qa7GM_eba5ca774e2a41dfa6e22fbff7fe66d2.png</x:v>
      </x:c>
      <x:c r="M118" s="8" t="str">
        <x:v>S9hNv5qa7GM_eba5ca774e2a41dfa6e22fbff7fe66d2</x:v>
      </x:c>
    </x:row>
    <x:row r="119" ht="44" customHeight="1">
      <x:c r="A119" s="8" t="str">
        <x:v>S9hNv5qa7GM</x:v>
      </x:c>
      <x:c r="B119" s="8" t="n">
        <x:v>21</x:v>
      </x:c>
      <x:c r="C119" s="8" t="str">
        <x:v>卫浴</x:v>
      </x:c>
      <x:c r="D119" s="8" t="str">
        <x:v>早期争议复核导出.user_type</x:v>
      </x:c>
      <x:c r="E119" s="8" t="str">
        <x:v>卫浴</x:v>
      </x:c>
      <x:c r="F119" s="8" t="str">
        <x:v>卫浴</x:v>
      </x:c>
      <x:c r="G119" s="8" t="n">
        <x:v>3</x:v>
      </x:c>
      <x:c r="H119" s="8" t="n">
        <x:v>3</x:v>
      </x:c>
      <x:c r="I119" s="8" t="n">
        <x:v>0</x:v>
      </x:c>
      <x:c r="J119" s="8" t="n">
        <x:v>16</x:v>
      </x:c>
      <x:c r="K119" s="8" t="str">
        <x:v>["G046"]</x:v>
      </x:c>
      <x:c r="L119" s="8" t="str">
        <x:v>https://github.com/Sparkling-Flames/3D_Manhattan_label/blob/844a4694627e1eacc6bfb48911897335e48ecc17/data/mp3d_layout/valid/img/S9hNv5qa7GM_ed36c0b595de42f0a4e13ba5d332814a.png</x:v>
      </x:c>
      <x:c r="M119" s="8" t="str">
        <x:v>S9hNv5qa7GM_ed36c0b595de42f0a4e13ba5d332814a</x:v>
      </x:c>
    </x:row>
    <x:row r="120" ht="44" customHeight="1">
      <x:c r="A120" s="8" t="str">
        <x:v>S9hNv5qa7GM</x:v>
      </x:c>
      <x:c r="B120" s="8" t="n">
        <x:v>22</x:v>
      </x:c>
      <x:c r="C120" s="8" t="str">
        <x:v>厨房与用餐</x:v>
      </x:c>
      <x:c r="D120" s="8" t="str">
        <x:v>早期争议复核导出.user_type</x:v>
      </x:c>
      <x:c r="E120" s="8" t="str">
        <x:v>厨房与用餐</x:v>
      </x:c>
      <x:c r="F120" s="8" t="str">
        <x:v>厨房与用餐</x:v>
      </x:c>
      <x:c r="G120" s="8" t="n">
        <x:v>0</x:v>
      </x:c>
      <x:c r="H120" s="8" t="n">
        <x:v>0</x:v>
      </x:c>
      <x:c r="I120" s="8" t="n">
        <x:v>0</x:v>
      </x:c>
      <x:c r="J120" s="8" t="n">
        <x:v>19</x:v>
      </x:c>
      <x:c r="K120" s="8" t="str">
        <x:v>["G042"]</x:v>
      </x:c>
      <x:c r="L120" s="8" t="str">
        <x:v>https://github.com/Sparkling-Flames/3D_Manhattan_label/blob/844a4694627e1eacc6bfb48911897335e48ecc17/data/mp3d_layout/valid/img/S9hNv5qa7GM_ed7387d968874f4bbe512395b64405af.png</x:v>
      </x:c>
      <x:c r="M120" s="8" t="str">
        <x:v>S9hNv5qa7GM_ed7387d968874f4bbe512395b64405af</x:v>
      </x:c>
    </x:row>
    <x:row r="121" ht="44" customHeight="1">
      <x:c r="A121" s="8" t="str">
        <x:v>S9hNv5qa7GM</x:v>
      </x:c>
      <x:c r="B121" s="8" t="n">
        <x:v>23</x:v>
      </x:c>
      <x:c r="C121" s="8" t="str">
        <x:v>卧室</x:v>
      </x:c>
      <x:c r="D121" s="8" t="str">
        <x:v>早期争议复核导出.user_type</x:v>
      </x:c>
      <x:c r="E121" s="8" t="str">
        <x:v>卧室</x:v>
      </x:c>
      <x:c r="F121" s="8" t="str">
        <x:v>卧室</x:v>
      </x:c>
      <x:c r="G121" s="8" t="n">
        <x:v>0</x:v>
      </x:c>
      <x:c r="H121" s="8" t="n">
        <x:v>0</x:v>
      </x:c>
      <x:c r="I121" s="8" t="n">
        <x:v>0</x:v>
      </x:c>
      <x:c r="J121" s="8" t="n">
        <x:v>19</x:v>
      </x:c>
      <x:c r="K121" s="8" t="str">
        <x:v>["G048"]</x:v>
      </x:c>
      <x:c r="L121" s="8" t="str">
        <x:v>https://github.com/Sparkling-Flames/3D_Manhattan_label/blob/844a4694627e1eacc6bfb48911897335e48ecc17/data/mp3d_layout/valid/img/S9hNv5qa7GM_f1b5f89d2b0a46449f374351c1579c80.png</x:v>
      </x:c>
      <x:c r="M121" s="8" t="str">
        <x:v>S9hNv5qa7GM_f1b5f89d2b0a46449f374351c1579c80</x:v>
      </x:c>
    </x:row>
    <x:row r="122" ht="44" customHeight="1">
      <x:c r="A122" s="8" t="str">
        <x:v>UwV83HsGsw3</x:v>
      </x:c>
      <x:c r="B122" s="8" t="n">
        <x:v>1</x:v>
      </x:c>
      <x:c r="C122" s="8" t="str">
        <x:v>待拆解(null)</x:v>
      </x:c>
      <x:c r="D122" s="8" t="str">
        <x:v>早期争议复核导出.user_type</x:v>
      </x:c>
      <x:c r="E122" s="8" t="str">
        <x:v>复合／待定</x:v>
      </x:c>
      <x:c r="F122" s="8" t="str">
        <x:v>开放复合空间</x:v>
      </x:c>
      <x:c r="G122" s="8" t="n">
        <x:v>4</x:v>
      </x:c>
      <x:c r="H122" s="8" t="n">
        <x:v>4</x:v>
      </x:c>
      <x:c r="I122" s="8" t="n">
        <x:v>4</x:v>
      </x:c>
      <x:c r="J122" s="8" t="n">
        <x:v>10</x:v>
      </x:c>
      <x:c r="K122" s="8" t="str">
        <x:v>["G049"]</x:v>
      </x:c>
      <x:c r="L122" s="8" t="str">
        <x:v>https://github.com/Sparkling-Flames/3D_Manhattan_label/blob/844a4694627e1eacc6bfb48911897335e48ecc17/data/mp3d_layout/test/img/UwV83HsGsw3_0f1385fc03994285ad8253b49516d77b.png</x:v>
      </x:c>
      <x:c r="M122" s="8" t="str">
        <x:v>UwV83HsGsw3_0f1385fc03994285ad8253b49516d77b</x:v>
      </x:c>
    </x:row>
    <x:row r="123" ht="44" customHeight="1">
      <x:c r="A123" s="8" t="str">
        <x:v>UwV83HsGsw3</x:v>
      </x:c>
      <x:c r="B123" s="8" t="n">
        <x:v>2</x:v>
      </x:c>
      <x:c r="C123" s="8" t="str">
        <x:v>卧室</x:v>
      </x:c>
      <x:c r="D123" s="8" t="str">
        <x:v>早期争议复核导出.user_type</x:v>
      </x:c>
      <x:c r="E123" s="8" t="str">
        <x:v>卧室</x:v>
      </x:c>
      <x:c r="F123" s="8" t="str">
        <x:v>卧室</x:v>
      </x:c>
      <x:c r="G123" s="8" t="n">
        <x:v>0</x:v>
      </x:c>
      <x:c r="H123" s="8" t="n">
        <x:v>0</x:v>
      </x:c>
      <x:c r="I123" s="8" t="n">
        <x:v>0</x:v>
      </x:c>
      <x:c r="J123" s="8" t="n">
        <x:v>19</x:v>
      </x:c>
      <x:c r="K123" s="8" t="str">
        <x:v>["G050", "G051"]</x:v>
      </x:c>
      <x:c r="L123" s="8" t="str">
        <x:v>https://github.com/Sparkling-Flames/3D_Manhattan_label/blob/844a4694627e1eacc6bfb48911897335e48ecc17/data/mp3d_layout/test/img/UwV83HsGsw3_1018c8753d68416e8f2d48a144282aeb.png</x:v>
      </x:c>
      <x:c r="M123" s="8" t="str">
        <x:v>UwV83HsGsw3_1018c8753d68416e8f2d48a144282aeb</x:v>
      </x:c>
    </x:row>
    <x:row r="124" ht="44" customHeight="1">
      <x:c r="A124" s="8" t="str">
        <x:v>UwV83HsGsw3</x:v>
      </x:c>
      <x:c r="B124" s="8" t="n">
        <x:v>3</x:v>
      </x:c>
      <x:c r="C124" s="8" t="str">
        <x:v>厨房与用餐</x:v>
      </x:c>
      <x:c r="D124" s="8" t="str">
        <x:v>早期争议复核导出.user_type</x:v>
      </x:c>
      <x:c r="E124" s="8" t="str">
        <x:v>厨房与用餐</x:v>
      </x:c>
      <x:c r="F124" s="8" t="str"/>
      <x:c r="G124" s="8" t="n">
        <x:v>5</x:v>
      </x:c>
      <x:c r="H124" s="8" t="n">
        <x:v>4</x:v>
      </x:c>
      <x:c r="I124" s="8" t="n">
        <x:v>0</x:v>
      </x:c>
      <x:c r="J124" s="8" t="n">
        <x:v>15</x:v>
      </x:c>
      <x:c r="K124" s="8" t="str">
        <x:v>["G049"]</x:v>
      </x:c>
      <x:c r="L124" s="8" t="str">
        <x:v>https://github.com/Sparkling-Flames/3D_Manhattan_label/blob/844a4694627e1eacc6bfb48911897335e48ecc17/data/mp3d_layout/test/img/UwV83HsGsw3_16af52545aff47afb4d7b330a49091a2.png</x:v>
      </x:c>
      <x:c r="M124" s="8" t="str">
        <x:v>UwV83HsGsw3_16af52545aff47afb4d7b330a49091a2</x:v>
      </x:c>
    </x:row>
    <x:row r="125" ht="44" customHeight="1">
      <x:c r="A125" s="8" t="str">
        <x:v>UwV83HsGsw3</x:v>
      </x:c>
      <x:c r="B125" s="8" t="n">
        <x:v>4</x:v>
      </x:c>
      <x:c r="C125" s="8" t="str">
        <x:v>卧室</x:v>
      </x:c>
      <x:c r="D125" s="8" t="str">
        <x:v>早期争议复核导出.user_type</x:v>
      </x:c>
      <x:c r="E125" s="8" t="str">
        <x:v>卧室</x:v>
      </x:c>
      <x:c r="F125" s="8" t="str">
        <x:v>卧室</x:v>
      </x:c>
      <x:c r="G125" s="8" t="n">
        <x:v>0</x:v>
      </x:c>
      <x:c r="H125" s="8" t="n">
        <x:v>0</x:v>
      </x:c>
      <x:c r="I125" s="8" t="n">
        <x:v>0</x:v>
      </x:c>
      <x:c r="J125" s="8" t="n">
        <x:v>19</x:v>
      </x:c>
      <x:c r="K125" s="8" t="str">
        <x:v>["G050", "G052"]</x:v>
      </x:c>
      <x:c r="L125" s="8" t="str">
        <x:v>https://github.com/Sparkling-Flames/3D_Manhattan_label/blob/844a4694627e1eacc6bfb48911897335e48ecc17/data/mp3d_layout/test/img/UwV83HsGsw3_2460d9e0bb2047e3b15b5eeeb58f68a8.png</x:v>
      </x:c>
      <x:c r="M125" s="8" t="str">
        <x:v>UwV83HsGsw3_2460d9e0bb2047e3b15b5eeeb58f68a8</x:v>
      </x:c>
    </x:row>
    <x:row r="126" ht="44" customHeight="1">
      <x:c r="A126" s="8" t="str">
        <x:v>UwV83HsGsw3</x:v>
      </x:c>
      <x:c r="B126" s="8" t="n">
        <x:v>5</x:v>
      </x:c>
      <x:c r="C126" s="8" t="str">
        <x:v>储藏与家务辅助</x:v>
      </x:c>
      <x:c r="D126" s="8" t="str">
        <x:v>后续41图亲审.current_classification.coarse_type</x:v>
      </x:c>
      <x:c r="E126" s="8" t="str">
        <x:v>储藏与家务辅助</x:v>
      </x:c>
      <x:c r="F126" s="8" t="str">
        <x:v>储藏与家务辅助</x:v>
      </x:c>
      <x:c r="G126" s="8" t="n">
        <x:v>0</x:v>
      </x:c>
      <x:c r="H126" s="8" t="n">
        <x:v>0</x:v>
      </x:c>
      <x:c r="I126" s="8" t="n">
        <x:v>0</x:v>
      </x:c>
      <x:c r="J126" s="8" t="n">
        <x:v>19</x:v>
      </x:c>
      <x:c r="K126" s="8" t="str">
        <x:v>["G053", "G054"]</x:v>
      </x:c>
      <x:c r="L126" s="8" t="str">
        <x:v>https://github.com/Sparkling-Flames/3D_Manhattan_label/blob/844a4694627e1eacc6bfb48911897335e48ecc17/data/mp3d_layout/test/img/UwV83HsGsw3_28e58f32d4274b62ac6d2b239e9e8516.png</x:v>
      </x:c>
      <x:c r="M126" s="8" t="str">
        <x:v>UwV83HsGsw3_28e58f32d4274b62ac6d2b239e9e8516</x:v>
      </x:c>
    </x:row>
    <x:row r="127" ht="44" customHeight="1">
      <x:c r="A127" s="8" t="str">
        <x:v>UwV83HsGsw3</x:v>
      </x:c>
      <x:c r="B127" s="8" t="n">
        <x:v>6</x:v>
      </x:c>
      <x:c r="C127" s="8" t="str">
        <x:v>厨房与用餐</x:v>
      </x:c>
      <x:c r="D127" s="8" t="str">
        <x:v>早期争议复核导出.user_type</x:v>
      </x:c>
      <x:c r="E127" s="8" t="str">
        <x:v>厨房与用餐</x:v>
      </x:c>
      <x:c r="F127" s="8" t="str"/>
      <x:c r="G127" s="8" t="n">
        <x:v>25</x:v>
      </x:c>
      <x:c r="H127" s="8" t="n">
        <x:v>19</x:v>
      </x:c>
      <x:c r="I127" s="8" t="n">
        <x:v>0</x:v>
      </x:c>
      <x:c r="J127" s="8" t="n">
        <x:v>0</x:v>
      </x:c>
      <x:c r="K127" s="8" t="str">
        <x:v>["G049"]</x:v>
      </x:c>
      <x:c r="L127" s="8" t="str">
        <x:v>https://github.com/Sparkling-Flames/3D_Manhattan_label/blob/844a4694627e1eacc6bfb48911897335e48ecc17/data/mp3d_layout/test/img/UwV83HsGsw3_528d342bf5494b3b94983545d6a1a282.png</x:v>
      </x:c>
      <x:c r="M127" s="8" t="str">
        <x:v>UwV83HsGsw3_528d342bf5494b3b94983545d6a1a282</x:v>
      </x:c>
    </x:row>
    <x:row r="128" ht="44" customHeight="1">
      <x:c r="A128" s="8" t="str">
        <x:v>UwV83HsGsw3</x:v>
      </x:c>
      <x:c r="B128" s="8" t="n">
        <x:v>7</x:v>
      </x:c>
      <x:c r="C128" s="8" t="str">
        <x:v>通行与连接</x:v>
      </x:c>
      <x:c r="D128" s="8" t="str">
        <x:v>早期争议复核导出.user_type</x:v>
      </x:c>
      <x:c r="E128" s="8" t="str">
        <x:v>通行与连接</x:v>
      </x:c>
      <x:c r="F128" s="8" t="str">
        <x:v>通行与连接</x:v>
      </x:c>
      <x:c r="G128" s="8" t="n">
        <x:v>0</x:v>
      </x:c>
      <x:c r="H128" s="8" t="n">
        <x:v>0</x:v>
      </x:c>
      <x:c r="I128" s="8" t="n">
        <x:v>0</x:v>
      </x:c>
      <x:c r="J128" s="8" t="n">
        <x:v>19</x:v>
      </x:c>
      <x:c r="K128" s="8" t="str">
        <x:v>[]</x:v>
      </x:c>
      <x:c r="L128" s="8" t="str">
        <x:v>https://github.com/Sparkling-Flames/3D_Manhattan_label/blob/844a4694627e1eacc6bfb48911897335e48ecc17/data/mp3d_layout/test/img/UwV83HsGsw3_6faf5c6575694e52882985ae8538f498.png</x:v>
      </x:c>
      <x:c r="M128" s="8" t="str">
        <x:v>UwV83HsGsw3_6faf5c6575694e52882985ae8538f498</x:v>
      </x:c>
    </x:row>
    <x:row r="129" ht="44" customHeight="1">
      <x:c r="A129" s="8" t="str">
        <x:v>UwV83HsGsw3</x:v>
      </x:c>
      <x:c r="B129" s="8" t="n">
        <x:v>8</x:v>
      </x:c>
      <x:c r="C129" s="8" t="str">
        <x:v>待拆解(null)</x:v>
      </x:c>
      <x:c r="D129" s="8" t="str">
        <x:v>早期争议复核导出.user_type</x:v>
      </x:c>
      <x:c r="E129" s="8" t="str">
        <x:v>复合／待定</x:v>
      </x:c>
      <x:c r="F129" s="8" t="str">
        <x:v>开放复合空间</x:v>
      </x:c>
      <x:c r="G129" s="8" t="n">
        <x:v>26</x:v>
      </x:c>
      <x:c r="H129" s="8" t="n">
        <x:v>19</x:v>
      </x:c>
      <x:c r="I129" s="8" t="n">
        <x:v>0</x:v>
      </x:c>
      <x:c r="J129" s="8" t="n">
        <x:v>0</x:v>
      </x:c>
      <x:c r="K129" s="8" t="str">
        <x:v>["G049"]</x:v>
      </x:c>
      <x:c r="L129" s="8" t="str">
        <x:v>https://github.com/Sparkling-Flames/3D_Manhattan_label/blob/844a4694627e1eacc6bfb48911897335e48ecc17/data/mp3d_layout/test/img/UwV83HsGsw3_71ada030981d4468b76dcebc1b6fb940.png</x:v>
      </x:c>
      <x:c r="M129" s="8" t="str">
        <x:v>UwV83HsGsw3_71ada030981d4468b76dcebc1b6fb940</x:v>
      </x:c>
    </x:row>
    <x:row r="130" ht="44" customHeight="1">
      <x:c r="A130" s="8" t="str">
        <x:v>UwV83HsGsw3</x:v>
      </x:c>
      <x:c r="B130" s="8" t="n">
        <x:v>9</x:v>
      </x:c>
      <x:c r="C130" s="8" t="str">
        <x:v>通行与连接</x:v>
      </x:c>
      <x:c r="D130" s="8" t="str">
        <x:v>早期争议复核导出.user_type</x:v>
      </x:c>
      <x:c r="E130" s="8" t="str">
        <x:v>通行与连接</x:v>
      </x:c>
      <x:c r="F130" s="8" t="str">
        <x:v>卫浴</x:v>
      </x:c>
      <x:c r="G130" s="8" t="n">
        <x:v>25</x:v>
      </x:c>
      <x:c r="H130" s="8" t="n">
        <x:v>19</x:v>
      </x:c>
      <x:c r="I130" s="8" t="n">
        <x:v>0</x:v>
      </x:c>
      <x:c r="J130" s="8" t="n">
        <x:v>0</x:v>
      </x:c>
      <x:c r="K130" s="8" t="str">
        <x:v>[]</x:v>
      </x:c>
      <x:c r="L130" s="8" t="str">
        <x:v>https://github.com/Sparkling-Flames/3D_Manhattan_label/blob/844a4694627e1eacc6bfb48911897335e48ecc17/data/mp3d_layout/test/img/UwV83HsGsw3_7482b1a2655e4655ae4ab58749f43f65.png</x:v>
      </x:c>
      <x:c r="M130" s="8" t="str">
        <x:v>UwV83HsGsw3_7482b1a2655e4655ae4ab58749f43f65</x:v>
      </x:c>
    </x:row>
    <x:row r="131" ht="44" customHeight="1">
      <x:c r="A131" s="8" t="str">
        <x:v>UwV83HsGsw3</x:v>
      </x:c>
      <x:c r="B131" s="8" t="n">
        <x:v>10</x:v>
      </x:c>
      <x:c r="C131" s="8" t="str">
        <x:v>卫浴</x:v>
      </x:c>
      <x:c r="D131" s="8" t="str">
        <x:v>早期争议复核导出.user_type</x:v>
      </x:c>
      <x:c r="E131" s="8" t="str">
        <x:v>卫浴</x:v>
      </x:c>
      <x:c r="F131" s="8" t="str">
        <x:v>卫浴</x:v>
      </x:c>
      <x:c r="G131" s="8" t="n">
        <x:v>25</x:v>
      </x:c>
      <x:c r="H131" s="8" t="n">
        <x:v>19</x:v>
      </x:c>
      <x:c r="I131" s="8" t="n">
        <x:v>0</x:v>
      </x:c>
      <x:c r="J131" s="8" t="n">
        <x:v>0</x:v>
      </x:c>
      <x:c r="K131" s="8" t="str">
        <x:v>["G055"]</x:v>
      </x:c>
      <x:c r="L131" s="8" t="str">
        <x:v>https://github.com/Sparkling-Flames/3D_Manhattan_label/blob/844a4694627e1eacc6bfb48911897335e48ecc17/data/mp3d_layout/test/img/UwV83HsGsw3_8e9c912f525744eeaea21083a20a1596.png</x:v>
      </x:c>
      <x:c r="M131" s="8" t="str">
        <x:v>UwV83HsGsw3_8e9c912f525744eeaea21083a20a1596</x:v>
      </x:c>
    </x:row>
    <x:row r="132" ht="44" customHeight="1">
      <x:c r="A132" s="8" t="str">
        <x:v>UwV83HsGsw3</x:v>
      </x:c>
      <x:c r="B132" s="8" t="n">
        <x:v>11</x:v>
      </x:c>
      <x:c r="C132" s="8" t="str">
        <x:v>储藏与家务辅助</x:v>
      </x:c>
      <x:c r="D132" s="8" t="str">
        <x:v>早期争议复核导出.user_type</x:v>
      </x:c>
      <x:c r="E132" s="8" t="str">
        <x:v>储藏与家务辅助</x:v>
      </x:c>
      <x:c r="F132" s="8" t="str">
        <x:v>储藏与家务辅助</x:v>
      </x:c>
      <x:c r="G132" s="8" t="n">
        <x:v>0</x:v>
      </x:c>
      <x:c r="H132" s="8" t="n">
        <x:v>0</x:v>
      </x:c>
      <x:c r="I132" s="8" t="n">
        <x:v>0</x:v>
      </x:c>
      <x:c r="J132" s="8" t="n">
        <x:v>19</x:v>
      </x:c>
      <x:c r="K132" s="8" t="str">
        <x:v>["G053"]</x:v>
      </x:c>
      <x:c r="L132" s="8" t="str">
        <x:v>https://github.com/Sparkling-Flames/3D_Manhattan_label/blob/844a4694627e1eacc6bfb48911897335e48ecc17/data/mp3d_layout/test/img/UwV83HsGsw3_92a9d9780863464195c5cfdd1851d623.png</x:v>
      </x:c>
      <x:c r="M132" s="8" t="str">
        <x:v>UwV83HsGsw3_92a9d9780863464195c5cfdd1851d623</x:v>
      </x:c>
    </x:row>
    <x:row r="133" ht="44" customHeight="1">
      <x:c r="A133" s="8" t="str">
        <x:v>UwV83HsGsw3</x:v>
      </x:c>
      <x:c r="B133" s="8" t="n">
        <x:v>12</x:v>
      </x:c>
      <x:c r="C133" s="8" t="str">
        <x:v>卧室</x:v>
      </x:c>
      <x:c r="D133" s="8" t="str">
        <x:v>早期争议复核导出.user_type</x:v>
      </x:c>
      <x:c r="E133" s="8" t="str">
        <x:v>卧室</x:v>
      </x:c>
      <x:c r="F133" s="8" t="str">
        <x:v>卧室</x:v>
      </x:c>
      <x:c r="G133" s="8" t="n">
        <x:v>6</x:v>
      </x:c>
      <x:c r="H133" s="8" t="n">
        <x:v>4</x:v>
      </x:c>
      <x:c r="I133" s="8" t="n">
        <x:v>4</x:v>
      </x:c>
      <x:c r="J133" s="8" t="n">
        <x:v>11</x:v>
      </x:c>
      <x:c r="K133" s="8" t="str">
        <x:v>["G051"]</x:v>
      </x:c>
      <x:c r="L133" s="8" t="str">
        <x:v>https://github.com/Sparkling-Flames/3D_Manhattan_label/blob/844a4694627e1eacc6bfb48911897335e48ecc17/data/mp3d_layout/test/img/UwV83HsGsw3_a3630444bbd94cd6ac4edbe2dc1221de.png</x:v>
      </x:c>
      <x:c r="M133" s="8" t="str">
        <x:v>UwV83HsGsw3_a3630444bbd94cd6ac4edbe2dc1221de</x:v>
      </x:c>
    </x:row>
    <x:row r="134" ht="44" customHeight="1">
      <x:c r="A134" s="8" t="str">
        <x:v>UwV83HsGsw3</x:v>
      </x:c>
      <x:c r="B134" s="8" t="n">
        <x:v>13</x:v>
      </x:c>
      <x:c r="C134" s="8" t="str">
        <x:v>储藏与家务辅助</x:v>
      </x:c>
      <x:c r="D134" s="8" t="str">
        <x:v>后续41图亲审.current_classification.coarse_type</x:v>
      </x:c>
      <x:c r="E134" s="8" t="str">
        <x:v>储藏与家务辅助</x:v>
      </x:c>
      <x:c r="F134" s="8" t="str">
        <x:v>储藏与家务辅助</x:v>
      </x:c>
      <x:c r="G134" s="8" t="n">
        <x:v>0</x:v>
      </x:c>
      <x:c r="H134" s="8" t="n">
        <x:v>0</x:v>
      </x:c>
      <x:c r="I134" s="8" t="n">
        <x:v>0</x:v>
      </x:c>
      <x:c r="J134" s="8" t="n">
        <x:v>19</x:v>
      </x:c>
      <x:c r="K134" s="8" t="str">
        <x:v>["G054"]</x:v>
      </x:c>
      <x:c r="L134" s="8" t="str">
        <x:v>https://github.com/Sparkling-Flames/3D_Manhattan_label/blob/844a4694627e1eacc6bfb48911897335e48ecc17/data/mp3d_layout/test/img/UwV83HsGsw3_a497aa9041fd41b3b5e6f3cab0849f98.png</x:v>
      </x:c>
      <x:c r="M134" s="8" t="str">
        <x:v>UwV83HsGsw3_a497aa9041fd41b3b5e6f3cab0849f98</x:v>
      </x:c>
    </x:row>
    <x:row r="135" ht="44" customHeight="1">
      <x:c r="A135" s="8" t="str">
        <x:v>UwV83HsGsw3</x:v>
      </x:c>
      <x:c r="B135" s="8" t="n">
        <x:v>14</x:v>
      </x:c>
      <x:c r="C135" s="8" t="str">
        <x:v>卧室</x:v>
      </x:c>
      <x:c r="D135" s="8" t="str">
        <x:v>早期争议复核导出.user_type</x:v>
      </x:c>
      <x:c r="E135" s="8" t="str">
        <x:v>卧室</x:v>
      </x:c>
      <x:c r="F135" s="8" t="str">
        <x:v>卧室</x:v>
      </x:c>
      <x:c r="G135" s="8" t="n">
        <x:v>0</x:v>
      </x:c>
      <x:c r="H135" s="8" t="n">
        <x:v>0</x:v>
      </x:c>
      <x:c r="I135" s="8" t="n">
        <x:v>0</x:v>
      </x:c>
      <x:c r="J135" s="8" t="n">
        <x:v>19</x:v>
      </x:c>
      <x:c r="K135" s="8" t="str">
        <x:v>["G052"]</x:v>
      </x:c>
      <x:c r="L135" s="8" t="str">
        <x:v>https://github.com/Sparkling-Flames/3D_Manhattan_label/blob/844a4694627e1eacc6bfb48911897335e48ecc17/data/mp3d_layout/test/img/UwV83HsGsw3_a7ae0b7c2c574b4a843af1be0c808f77.png</x:v>
      </x:c>
      <x:c r="M135" s="8" t="str">
        <x:v>UwV83HsGsw3_a7ae0b7c2c574b4a843af1be0c808f77</x:v>
      </x:c>
    </x:row>
    <x:row r="136" ht="44" customHeight="1">
      <x:c r="A136" s="8" t="str">
        <x:v>UwV83HsGsw3</x:v>
      </x:c>
      <x:c r="B136" s="8" t="n">
        <x:v>15</x:v>
      </x:c>
      <x:c r="C136" s="8" t="str">
        <x:v>通行与连接</x:v>
      </x:c>
      <x:c r="D136" s="8" t="str">
        <x:v>早期争议复核导出.user_type</x:v>
      </x:c>
      <x:c r="E136" s="8" t="str">
        <x:v>通行与连接</x:v>
      </x:c>
      <x:c r="F136" s="8" t="str">
        <x:v>通行与连接</x:v>
      </x:c>
      <x:c r="G136" s="8" t="n">
        <x:v>0</x:v>
      </x:c>
      <x:c r="H136" s="8" t="n">
        <x:v>0</x:v>
      </x:c>
      <x:c r="I136" s="8" t="n">
        <x:v>0</x:v>
      </x:c>
      <x:c r="J136" s="8" t="n">
        <x:v>19</x:v>
      </x:c>
      <x:c r="K136" s="8" t="str">
        <x:v>[]</x:v>
      </x:c>
      <x:c r="L136" s="8" t="str">
        <x:v>https://github.com/Sparkling-Flames/3D_Manhattan_label/blob/844a4694627e1eacc6bfb48911897335e48ecc17/data/mp3d_layout/test/img/UwV83HsGsw3_b51c75363db94cc09b68d661fcfcd186.png</x:v>
      </x:c>
      <x:c r="M136" s="8" t="str">
        <x:v>UwV83HsGsw3_b51c75363db94cc09b68d661fcfcd186</x:v>
      </x:c>
    </x:row>
    <x:row r="137" ht="44" customHeight="1">
      <x:c r="A137" s="8" t="str">
        <x:v>UwV83HsGsw3</x:v>
      </x:c>
      <x:c r="B137" s="8" t="n">
        <x:v>16</x:v>
      </x:c>
      <x:c r="C137" s="8" t="str">
        <x:v>起居与休闲</x:v>
      </x:c>
      <x:c r="D137" s="8" t="str">
        <x:v>早期争议复核导出.user_type</x:v>
      </x:c>
      <x:c r="E137" s="8" t="str">
        <x:v>起居与休闲</x:v>
      </x:c>
      <x:c r="F137" s="8" t="str"/>
      <x:c r="G137" s="8" t="n">
        <x:v>5</x:v>
      </x:c>
      <x:c r="H137" s="8" t="n">
        <x:v>4</x:v>
      </x:c>
      <x:c r="I137" s="8" t="n">
        <x:v>0</x:v>
      </x:c>
      <x:c r="J137" s="8" t="n">
        <x:v>15</x:v>
      </x:c>
      <x:c r="K137" s="8" t="str">
        <x:v>["G049"]</x:v>
      </x:c>
      <x:c r="L137" s="8" t="str">
        <x:v>https://github.com/Sparkling-Flames/3D_Manhattan_label/blob/844a4694627e1eacc6bfb48911897335e48ecc17/data/mp3d_layout/test/img/UwV83HsGsw3_b979526475874ad68ae33f02d407a1fc.png</x:v>
      </x:c>
      <x:c r="M137" s="8" t="str">
        <x:v>UwV83HsGsw3_b979526475874ad68ae33f02d407a1fc</x:v>
      </x:c>
    </x:row>
    <x:row r="138" ht="44" customHeight="1">
      <x:c r="A138" s="8" t="str">
        <x:v>UwV83HsGsw3</x:v>
      </x:c>
      <x:c r="B138" s="8" t="n">
        <x:v>17</x:v>
      </x:c>
      <x:c r="C138" s="8" t="str">
        <x:v>卫浴</x:v>
      </x:c>
      <x:c r="D138" s="8" t="str">
        <x:v>早期争议复核导出.user_type</x:v>
      </x:c>
      <x:c r="E138" s="8" t="str">
        <x:v>卫浴</x:v>
      </x:c>
      <x:c r="F138" s="8" t="str">
        <x:v>卫浴</x:v>
      </x:c>
      <x:c r="G138" s="8" t="n">
        <x:v>23</x:v>
      </x:c>
      <x:c r="H138" s="8" t="n">
        <x:v>19</x:v>
      </x:c>
      <x:c r="I138" s="8" t="n">
        <x:v>0</x:v>
      </x:c>
      <x:c r="J138" s="8" t="n">
        <x:v>0</x:v>
      </x:c>
      <x:c r="K138" s="8" t="str">
        <x:v>[]</x:v>
      </x:c>
      <x:c r="L138" s="8" t="str">
        <x:v>https://github.com/Sparkling-Flames/3D_Manhattan_label/blob/844a4694627e1eacc6bfb48911897335e48ecc17/data/mp3d_layout/test/img/UwV83HsGsw3_bc29294428a647038f70e0ea31ea8972.png</x:v>
      </x:c>
      <x:c r="M138" s="8" t="str">
        <x:v>UwV83HsGsw3_bc29294428a647038f70e0ea31ea8972</x:v>
      </x:c>
    </x:row>
    <x:row r="139" ht="44" customHeight="1">
      <x:c r="A139" s="8" t="str">
        <x:v>UwV83HsGsw3</x:v>
      </x:c>
      <x:c r="B139" s="8" t="n">
        <x:v>18</x:v>
      </x:c>
      <x:c r="C139" s="8" t="str">
        <x:v>卫浴</x:v>
      </x:c>
      <x:c r="D139" s="8" t="str">
        <x:v>早期争议复核导出.user_type</x:v>
      </x:c>
      <x:c r="E139" s="8" t="str">
        <x:v>卫浴</x:v>
      </x:c>
      <x:c r="F139" s="8" t="str">
        <x:v>卫浴</x:v>
      </x:c>
      <x:c r="G139" s="8" t="n">
        <x:v>0</x:v>
      </x:c>
      <x:c r="H139" s="8" t="n">
        <x:v>0</x:v>
      </x:c>
      <x:c r="I139" s="8" t="n">
        <x:v>0</x:v>
      </x:c>
      <x:c r="J139" s="8" t="n">
        <x:v>19</x:v>
      </x:c>
      <x:c r="K139" s="8" t="str">
        <x:v>["G055"]</x:v>
      </x:c>
      <x:c r="L139" s="8" t="str">
        <x:v>https://github.com/Sparkling-Flames/3D_Manhattan_label/blob/844a4694627e1eacc6bfb48911897335e48ecc17/data/mp3d_layout/test/img/UwV83HsGsw3_bca9a4ce9c82463c97dea098ccfae7a0.png</x:v>
      </x:c>
      <x:c r="M139" s="8" t="str">
        <x:v>UwV83HsGsw3_bca9a4ce9c82463c97dea098ccfae7a0</x:v>
      </x:c>
    </x:row>
    <x:row r="140" ht="44" customHeight="1">
      <x:c r="A140" s="8" t="str">
        <x:v>UwV83HsGsw3</x:v>
      </x:c>
      <x:c r="B140" s="8" t="n">
        <x:v>19</x:v>
      </x:c>
      <x:c r="C140" s="8" t="str">
        <x:v>卧室</x:v>
      </x:c>
      <x:c r="D140" s="8" t="str">
        <x:v>早期争议复核导出.user_type</x:v>
      </x:c>
      <x:c r="E140" s="8" t="str">
        <x:v>卧室</x:v>
      </x:c>
      <x:c r="F140" s="8" t="str">
        <x:v>卧室</x:v>
      </x:c>
      <x:c r="G140" s="8" t="n">
        <x:v>0</x:v>
      </x:c>
      <x:c r="H140" s="8" t="n">
        <x:v>0</x:v>
      </x:c>
      <x:c r="I140" s="8" t="n">
        <x:v>0</x:v>
      </x:c>
      <x:c r="J140" s="8" t="n">
        <x:v>19</x:v>
      </x:c>
      <x:c r="K140" s="8" t="str">
        <x:v>["G051"]</x:v>
      </x:c>
      <x:c r="L140" s="8" t="str">
        <x:v>https://github.com/Sparkling-Flames/3D_Manhattan_label/blob/844a4694627e1eacc6bfb48911897335e48ecc17/data/mp3d_layout/test/img/UwV83HsGsw3_c3d8db2f8817403e88c7d96e96ebd9b6.png</x:v>
      </x:c>
      <x:c r="M140" s="8" t="str">
        <x:v>UwV83HsGsw3_c3d8db2f8817403e88c7d96e96ebd9b6</x:v>
      </x:c>
    </x:row>
    <x:row r="141" ht="44" customHeight="1">
      <x:c r="A141" s="8" t="str">
        <x:v>UwV83HsGsw3</x:v>
      </x:c>
      <x:c r="B141" s="8" t="n">
        <x:v>20</x:v>
      </x:c>
      <x:c r="C141" s="8" t="str">
        <x:v>卧室</x:v>
      </x:c>
      <x:c r="D141" s="8" t="str">
        <x:v>早期争议复核导出.user_type</x:v>
      </x:c>
      <x:c r="E141" s="8" t="str">
        <x:v>卧室</x:v>
      </x:c>
      <x:c r="F141" s="8" t="str">
        <x:v>卧室</x:v>
      </x:c>
      <x:c r="G141" s="8" t="n">
        <x:v>0</x:v>
      </x:c>
      <x:c r="H141" s="8" t="n">
        <x:v>0</x:v>
      </x:c>
      <x:c r="I141" s="8" t="n">
        <x:v>0</x:v>
      </x:c>
      <x:c r="J141" s="8" t="n">
        <x:v>19</x:v>
      </x:c>
      <x:c r="K141" s="8" t="str">
        <x:v>["G052", "G056"]</x:v>
      </x:c>
      <x:c r="L141" s="8" t="str">
        <x:v>https://github.com/Sparkling-Flames/3D_Manhattan_label/blob/844a4694627e1eacc6bfb48911897335e48ecc17/data/mp3d_layout/test/img/UwV83HsGsw3_cfd92c05e31846e89144f7b2bb8e59a8.png</x:v>
      </x:c>
      <x:c r="M141" s="8" t="str">
        <x:v>UwV83HsGsw3_cfd92c05e31846e89144f7b2bb8e59a8</x:v>
      </x:c>
    </x:row>
    <x:row r="142" ht="44" customHeight="1">
      <x:c r="A142" s="8" t="str">
        <x:v>UwV83HsGsw3</x:v>
      </x:c>
      <x:c r="B142" s="8" t="n">
        <x:v>21</x:v>
      </x:c>
      <x:c r="C142" s="8" t="str">
        <x:v>卧室</x:v>
      </x:c>
      <x:c r="D142" s="8" t="str">
        <x:v>早期争议复核导出.user_type</x:v>
      </x:c>
      <x:c r="E142" s="8" t="str">
        <x:v>卧室</x:v>
      </x:c>
      <x:c r="F142" s="8" t="str">
        <x:v>卧室</x:v>
      </x:c>
      <x:c r="G142" s="8" t="n">
        <x:v>0</x:v>
      </x:c>
      <x:c r="H142" s="8" t="n">
        <x:v>0</x:v>
      </x:c>
      <x:c r="I142" s="8" t="n">
        <x:v>0</x:v>
      </x:c>
      <x:c r="J142" s="8" t="n">
        <x:v>19</x:v>
      </x:c>
      <x:c r="K142" s="8" t="str">
        <x:v>["G051"]</x:v>
      </x:c>
      <x:c r="L142" s="8" t="str">
        <x:v>https://github.com/Sparkling-Flames/3D_Manhattan_label/blob/844a4694627e1eacc6bfb48911897335e48ecc17/data/mp3d_layout/test/img/UwV83HsGsw3_cfe01e0f074a4a2cb892c6052bce550f.png</x:v>
      </x:c>
      <x:c r="M142" s="8" t="str">
        <x:v>UwV83HsGsw3_cfe01e0f074a4a2cb892c6052bce550f</x:v>
      </x:c>
    </x:row>
    <x:row r="143" ht="44" customHeight="1">
      <x:c r="A143" s="8" t="str">
        <x:v>UwV83HsGsw3</x:v>
      </x:c>
      <x:c r="B143" s="8" t="n">
        <x:v>22</x:v>
      </x:c>
      <x:c r="C143" s="8" t="str">
        <x:v>卧室</x:v>
      </x:c>
      <x:c r="D143" s="8" t="str">
        <x:v>早期争议复核导出.user_type</x:v>
      </x:c>
      <x:c r="E143" s="8" t="str">
        <x:v>卧室</x:v>
      </x:c>
      <x:c r="F143" s="8" t="str">
        <x:v>卧室</x:v>
      </x:c>
      <x:c r="G143" s="8" t="n">
        <x:v>5</x:v>
      </x:c>
      <x:c r="H143" s="8" t="n">
        <x:v>4</x:v>
      </x:c>
      <x:c r="I143" s="8" t="n">
        <x:v>0</x:v>
      </x:c>
      <x:c r="J143" s="8" t="n">
        <x:v>15</x:v>
      </x:c>
      <x:c r="K143" s="8" t="str">
        <x:v>["G051", "G056"]</x:v>
      </x:c>
      <x:c r="L143" s="8" t="str">
        <x:v>https://github.com/Sparkling-Flames/3D_Manhattan_label/blob/844a4694627e1eacc6bfb48911897335e48ecc17/data/mp3d_layout/test/img/UwV83HsGsw3_f9641b59487a4b0ca0fe41a82edc0980.png</x:v>
      </x:c>
      <x:c r="M143" s="8" t="str">
        <x:v>UwV83HsGsw3_f9641b59487a4b0ca0fe41a82edc0980</x:v>
      </x:c>
    </x:row>
    <x:row r="144" ht="44" customHeight="1">
      <x:c r="A144" s="8" t="str">
        <x:v>UwV83HsGsw3</x:v>
      </x:c>
      <x:c r="B144" s="8" t="n">
        <x:v>23</x:v>
      </x:c>
      <x:c r="C144" s="8" t="str">
        <x:v>起居与休闲</x:v>
      </x:c>
      <x:c r="D144" s="8" t="str">
        <x:v>早期争议复核导出.user_type</x:v>
      </x:c>
      <x:c r="E144" s="8" t="str">
        <x:v>起居与休闲</x:v>
      </x:c>
      <x:c r="F144" s="8" t="str"/>
      <x:c r="G144" s="8" t="n">
        <x:v>25</x:v>
      </x:c>
      <x:c r="H144" s="8" t="n">
        <x:v>19</x:v>
      </x:c>
      <x:c r="I144" s="8" t="n">
        <x:v>0</x:v>
      </x:c>
      <x:c r="J144" s="8" t="n">
        <x:v>0</x:v>
      </x:c>
      <x:c r="K144" s="8" t="str">
        <x:v>["G049"]</x:v>
      </x:c>
      <x:c r="L144" s="8" t="str">
        <x:v>https://github.com/Sparkling-Flames/3D_Manhattan_label/blob/844a4694627e1eacc6bfb48911897335e48ecc17/data/mp3d_layout/test/img/UwV83HsGsw3_fcd79f4b6a6642e99227caffb51bf407.png</x:v>
      </x:c>
      <x:c r="M144" s="8" t="str">
        <x:v>UwV83HsGsw3_fcd79f4b6a6642e99227caffb51bf407</x:v>
      </x:c>
    </x:row>
    <x:row r="145" ht="44" customHeight="1">
      <x:c r="A145" s="8" t="str">
        <x:v>VFuaQ6m2Qom</x:v>
      </x:c>
      <x:c r="B145" s="8" t="n">
        <x:v>1</x:v>
      </x:c>
      <x:c r="C145" s="8" t="str">
        <x:v>卫浴</x:v>
      </x:c>
      <x:c r="D145" s="8" t="str">
        <x:v>早期争议复核导出.user_type</x:v>
      </x:c>
      <x:c r="E145" s="8" t="str">
        <x:v>卫浴</x:v>
      </x:c>
      <x:c r="F145" s="8" t="str">
        <x:v>卫浴</x:v>
      </x:c>
      <x:c r="G145" s="8" t="n">
        <x:v>2</x:v>
      </x:c>
      <x:c r="H145" s="8" t="n">
        <x:v>2</x:v>
      </x:c>
      <x:c r="I145" s="8" t="n">
        <x:v>0</x:v>
      </x:c>
      <x:c r="J145" s="8" t="n">
        <x:v>17</x:v>
      </x:c>
      <x:c r="K145" s="8" t="str">
        <x:v>["G057", "G058"]</x:v>
      </x:c>
      <x:c r="L145" s="8" t="str">
        <x:v>https://github.com/Sparkling-Flames/3D_Manhattan_label/blob/844a4694627e1eacc6bfb48911897335e48ecc17/data/mp3d_layout/valid/img/VFuaQ6m2Qom_109e18c64a614dc49e41a33ae979f98a.png</x:v>
      </x:c>
      <x:c r="M145" s="8" t="str">
        <x:v>VFuaQ6m2Qom_109e18c64a614dc49e41a33ae979f98a</x:v>
      </x:c>
    </x:row>
    <x:row r="146" ht="44" customHeight="1">
      <x:c r="A146" s="8" t="str">
        <x:v>VFuaQ6m2Qom</x:v>
      </x:c>
      <x:c r="B146" s="8" t="n">
        <x:v>2</x:v>
      </x:c>
      <x:c r="C146" s="8" t="str">
        <x:v>卫浴</x:v>
      </x:c>
      <x:c r="D146" s="8" t="str">
        <x:v>早期争议复核导出.user_type</x:v>
      </x:c>
      <x:c r="E146" s="8" t="str">
        <x:v>卫浴</x:v>
      </x:c>
      <x:c r="F146" s="8" t="str">
        <x:v>卫浴</x:v>
      </x:c>
      <x:c r="G146" s="8" t="n">
        <x:v>0</x:v>
      </x:c>
      <x:c r="H146" s="8" t="n">
        <x:v>0</x:v>
      </x:c>
      <x:c r="I146" s="8" t="n">
        <x:v>0</x:v>
      </x:c>
      <x:c r="J146" s="8" t="n">
        <x:v>19</x:v>
      </x:c>
      <x:c r="K146" s="8" t="str">
        <x:v>["G057"]</x:v>
      </x:c>
      <x:c r="L146" s="8" t="str">
        <x:v>https://github.com/Sparkling-Flames/3D_Manhattan_label/blob/844a4694627e1eacc6bfb48911897335e48ecc17/data/mp3d_layout/valid/img/VFuaQ6m2Qom_24d1e0ee55a542b68d600b81eae4f4d4.png</x:v>
      </x:c>
      <x:c r="M146" s="8" t="str">
        <x:v>VFuaQ6m2Qom_24d1e0ee55a542b68d600b81eae4f4d4</x:v>
      </x:c>
    </x:row>
    <x:row r="147" ht="44" customHeight="1">
      <x:c r="A147" s="8" t="str">
        <x:v>VFuaQ6m2Qom</x:v>
      </x:c>
      <x:c r="B147" s="8" t="n">
        <x:v>3</x:v>
      </x:c>
      <x:c r="C147" s="8" t="str">
        <x:v>卧室</x:v>
      </x:c>
      <x:c r="D147" s="8" t="str">
        <x:v>早期争议复核导出.user_type</x:v>
      </x:c>
      <x:c r="E147" s="8" t="str">
        <x:v>卧室</x:v>
      </x:c>
      <x:c r="F147" s="8" t="str">
        <x:v>卧室</x:v>
      </x:c>
      <x:c r="G147" s="8" t="n">
        <x:v>2</x:v>
      </x:c>
      <x:c r="H147" s="8" t="n">
        <x:v>2</x:v>
      </x:c>
      <x:c r="I147" s="8" t="n">
        <x:v>0</x:v>
      </x:c>
      <x:c r="J147" s="8" t="n">
        <x:v>17</x:v>
      </x:c>
      <x:c r="K147" s="8" t="str">
        <x:v>["G059"]</x:v>
      </x:c>
      <x:c r="L147" s="8" t="str">
        <x:v>https://github.com/Sparkling-Flames/3D_Manhattan_label/blob/844a4694627e1eacc6bfb48911897335e48ecc17/data/mp3d_layout/valid/img/VFuaQ6m2Qom_381ce3cd69b846c3b920be16d29ed48e.png</x:v>
      </x:c>
      <x:c r="M147" s="8" t="str">
        <x:v>VFuaQ6m2Qom_381ce3cd69b846c3b920be16d29ed48e</x:v>
      </x:c>
    </x:row>
    <x:row r="148" ht="44" customHeight="1">
      <x:c r="A148" s="8" t="str">
        <x:v>VFuaQ6m2Qom</x:v>
      </x:c>
      <x:c r="B148" s="8" t="n">
        <x:v>4</x:v>
      </x:c>
      <x:c r="C148" s="8" t="str">
        <x:v>卫浴</x:v>
      </x:c>
      <x:c r="D148" s="8" t="str">
        <x:v>早期争议复核导出.user_type</x:v>
      </x:c>
      <x:c r="E148" s="8" t="str">
        <x:v>卫浴</x:v>
      </x:c>
      <x:c r="F148" s="8" t="str">
        <x:v>卫浴</x:v>
      </x:c>
      <x:c r="G148" s="8" t="n">
        <x:v>7</x:v>
      </x:c>
      <x:c r="H148" s="8" t="n">
        <x:v>7</x:v>
      </x:c>
      <x:c r="I148" s="8" t="n">
        <x:v>0</x:v>
      </x:c>
      <x:c r="J148" s="8" t="n">
        <x:v>12</x:v>
      </x:c>
      <x:c r="K148" s="8" t="str">
        <x:v>["G057"]</x:v>
      </x:c>
      <x:c r="L148" s="8" t="str">
        <x:v>https://github.com/Sparkling-Flames/3D_Manhattan_label/blob/844a4694627e1eacc6bfb48911897335e48ecc17/data/mp3d_layout/valid/img/VFuaQ6m2Qom_5fb269a812f349b4bc2ad5dfac000b85.png</x:v>
      </x:c>
      <x:c r="M148" s="8" t="str">
        <x:v>VFuaQ6m2Qom_5fb269a812f349b4bc2ad5dfac000b85</x:v>
      </x:c>
    </x:row>
    <x:row r="149" ht="44" customHeight="1">
      <x:c r="A149" s="8" t="str">
        <x:v>VFuaQ6m2Qom</x:v>
      </x:c>
      <x:c r="B149" s="8" t="n">
        <x:v>5</x:v>
      </x:c>
      <x:c r="C149" s="8" t="str">
        <x:v>卧室</x:v>
      </x:c>
      <x:c r="D149" s="8" t="str">
        <x:v>早期争议复核导出.user_type</x:v>
      </x:c>
      <x:c r="E149" s="8" t="str">
        <x:v>卧室</x:v>
      </x:c>
      <x:c r="F149" s="8" t="str">
        <x:v>卧室</x:v>
      </x:c>
      <x:c r="G149" s="8" t="n">
        <x:v>0</x:v>
      </x:c>
      <x:c r="H149" s="8" t="n">
        <x:v>0</x:v>
      </x:c>
      <x:c r="I149" s="8" t="n">
        <x:v>0</x:v>
      </x:c>
      <x:c r="J149" s="8" t="n">
        <x:v>19</x:v>
      </x:c>
      <x:c r="K149" s="8" t="str">
        <x:v>["G059"]</x:v>
      </x:c>
      <x:c r="L149" s="8" t="str">
        <x:v>https://github.com/Sparkling-Flames/3D_Manhattan_label/blob/844a4694627e1eacc6bfb48911897335e48ecc17/data/mp3d_layout/valid/img/VFuaQ6m2Qom_8a4ee4cfaba847cc8e68500039c9a916.png</x:v>
      </x:c>
      <x:c r="M149" s="8" t="str">
        <x:v>VFuaQ6m2Qom_8a4ee4cfaba847cc8e68500039c9a916</x:v>
      </x:c>
    </x:row>
    <x:row r="150" ht="44" customHeight="1">
      <x:c r="A150" s="8" t="str">
        <x:v>VFuaQ6m2Qom</x:v>
      </x:c>
      <x:c r="B150" s="8" t="n">
        <x:v>6</x:v>
      </x:c>
      <x:c r="C150" s="8" t="str">
        <x:v>卧室</x:v>
      </x:c>
      <x:c r="D150" s="8" t="str">
        <x:v>早期争议复核导出.user_type</x:v>
      </x:c>
      <x:c r="E150" s="8" t="str">
        <x:v>卧室</x:v>
      </x:c>
      <x:c r="F150" s="8" t="str">
        <x:v>卧室</x:v>
      </x:c>
      <x:c r="G150" s="8" t="n">
        <x:v>0</x:v>
      </x:c>
      <x:c r="H150" s="8" t="n">
        <x:v>0</x:v>
      </x:c>
      <x:c r="I150" s="8" t="n">
        <x:v>0</x:v>
      </x:c>
      <x:c r="J150" s="8" t="n">
        <x:v>19</x:v>
      </x:c>
      <x:c r="K150" s="8" t="str">
        <x:v>["G059"]</x:v>
      </x:c>
      <x:c r="L150" s="8" t="str">
        <x:v>https://github.com/Sparkling-Flames/3D_Manhattan_label/blob/844a4694627e1eacc6bfb48911897335e48ecc17/data/mp3d_layout/valid/img/VFuaQ6m2Qom_93510fabb581438887c1d3e65093b7ae.png</x:v>
      </x:c>
      <x:c r="M150" s="8" t="str">
        <x:v>VFuaQ6m2Qom_93510fabb581438887c1d3e65093b7ae</x:v>
      </x:c>
    </x:row>
    <x:row r="151" ht="44" customHeight="1">
      <x:c r="A151" s="8" t="str">
        <x:v>VFuaQ6m2Qom</x:v>
      </x:c>
      <x:c r="B151" s="8" t="n">
        <x:v>7</x:v>
      </x:c>
      <x:c r="C151" s="8" t="str">
        <x:v>卫浴</x:v>
      </x:c>
      <x:c r="D151" s="8" t="str">
        <x:v>早期争议复核导出.user_type</x:v>
      </x:c>
      <x:c r="E151" s="8" t="str">
        <x:v>卫浴</x:v>
      </x:c>
      <x:c r="F151" s="8" t="str">
        <x:v>卫浴</x:v>
      </x:c>
      <x:c r="G151" s="8" t="n">
        <x:v>19</x:v>
      </x:c>
      <x:c r="H151" s="8" t="n">
        <x:v>18</x:v>
      </x:c>
      <x:c r="I151" s="8" t="n">
        <x:v>0</x:v>
      </x:c>
      <x:c r="J151" s="8" t="n">
        <x:v>0</x:v>
      </x:c>
      <x:c r="K151" s="8" t="str">
        <x:v>["G057"]</x:v>
      </x:c>
      <x:c r="L151" s="8" t="str">
        <x:v>https://github.com/Sparkling-Flames/3D_Manhattan_label/blob/844a4694627e1eacc6bfb48911897335e48ecc17/data/mp3d_layout/valid/img/VFuaQ6m2Qom_ad4c387f8175498491966703c8441e0d.png</x:v>
      </x:c>
      <x:c r="M151" s="8" t="str">
        <x:v>VFuaQ6m2Qom_ad4c387f8175498491966703c8441e0d</x:v>
      </x:c>
    </x:row>
    <x:row r="152" ht="44" customHeight="1">
      <x:c r="A152" s="8" t="str">
        <x:v>VFuaQ6m2Qom</x:v>
      </x:c>
      <x:c r="B152" s="8" t="n">
        <x:v>8</x:v>
      </x:c>
      <x:c r="C152" s="8" t="str">
        <x:v>通行与连接</x:v>
      </x:c>
      <x:c r="D152" s="8" t="str">
        <x:v>早期争议复核导出.user_type</x:v>
      </x:c>
      <x:c r="E152" s="8" t="str">
        <x:v>通行与连接</x:v>
      </x:c>
      <x:c r="F152" s="8" t="str">
        <x:v>通行与连接</x:v>
      </x:c>
      <x:c r="G152" s="8" t="n">
        <x:v>0</x:v>
      </x:c>
      <x:c r="H152" s="8" t="n">
        <x:v>0</x:v>
      </x:c>
      <x:c r="I152" s="8" t="n">
        <x:v>0</x:v>
      </x:c>
      <x:c r="J152" s="8" t="n">
        <x:v>19</x:v>
      </x:c>
      <x:c r="K152" s="8" t="str">
        <x:v>["G058", "G060"]</x:v>
      </x:c>
      <x:c r="L152" s="8" t="str">
        <x:v>https://github.com/Sparkling-Flames/3D_Manhattan_label/blob/844a4694627e1eacc6bfb48911897335e48ecc17/data/mp3d_layout/valid/img/VFuaQ6m2Qom_b6ab88125f984cda94011fef788e23d0.png</x:v>
      </x:c>
      <x:c r="M152" s="8" t="str">
        <x:v>VFuaQ6m2Qom_b6ab88125f984cda94011fef788e23d0</x:v>
      </x:c>
    </x:row>
    <x:row r="153" ht="44" customHeight="1">
      <x:c r="A153" s="8" t="str">
        <x:v>VFuaQ6m2Qom</x:v>
      </x:c>
      <x:c r="B153" s="8" t="n">
        <x:v>9</x:v>
      </x:c>
      <x:c r="C153" s="8" t="str">
        <x:v>通行与连接</x:v>
      </x:c>
      <x:c r="D153" s="8" t="str">
        <x:v>早期争议复核导出.user_type</x:v>
      </x:c>
      <x:c r="E153" s="8" t="str">
        <x:v>通行与连接</x:v>
      </x:c>
      <x:c r="F153" s="8" t="str">
        <x:v>通行与连接</x:v>
      </x:c>
      <x:c r="G153" s="8" t="n">
        <x:v>0</x:v>
      </x:c>
      <x:c r="H153" s="8" t="n">
        <x:v>0</x:v>
      </x:c>
      <x:c r="I153" s="8" t="n">
        <x:v>0</x:v>
      </x:c>
      <x:c r="J153" s="8" t="n">
        <x:v>19</x:v>
      </x:c>
      <x:c r="K153" s="8" t="str">
        <x:v>["G060"]</x:v>
      </x:c>
      <x:c r="L153" s="8" t="str">
        <x:v>https://github.com/Sparkling-Flames/3D_Manhattan_label/blob/844a4694627e1eacc6bfb48911897335e48ecc17/data/mp3d_layout/valid/img/VFuaQ6m2Qom_f04a58b9c4ff4e448b5a4da4fd823a9c.png</x:v>
      </x:c>
      <x:c r="M153" s="8" t="str">
        <x:v>VFuaQ6m2Qom_f04a58b9c4ff4e448b5a4da4fd823a9c</x:v>
      </x:c>
    </x:row>
    <x:row r="154" ht="44" customHeight="1">
      <x:c r="A154" s="8" t="str">
        <x:v>VFuaQ6m2Qom</x:v>
      </x:c>
      <x:c r="B154" s="8" t="n">
        <x:v>10</x:v>
      </x:c>
      <x:c r="C154" s="8" t="str">
        <x:v>卫浴</x:v>
      </x:c>
      <x:c r="D154" s="8" t="str">
        <x:v>早期争议复核导出.user_type</x:v>
      </x:c>
      <x:c r="E154" s="8" t="str">
        <x:v>卫浴</x:v>
      </x:c>
      <x:c r="F154" s="8" t="str">
        <x:v>卫浴</x:v>
      </x:c>
      <x:c r="G154" s="8" t="n">
        <x:v>5</x:v>
      </x:c>
      <x:c r="H154" s="8" t="n">
        <x:v>4</x:v>
      </x:c>
      <x:c r="I154" s="8" t="n">
        <x:v>0</x:v>
      </x:c>
      <x:c r="J154" s="8" t="n">
        <x:v>15</x:v>
      </x:c>
      <x:c r="K154" s="8" t="str">
        <x:v>["G057"]</x:v>
      </x:c>
      <x:c r="L154" s="8" t="str">
        <x:v>https://github.com/Sparkling-Flames/3D_Manhattan_label/blob/844a4694627e1eacc6bfb48911897335e48ecc17/data/mp3d_layout/valid/img/VFuaQ6m2Qom_f0be18aa2f1d4aa2b6adf355a86f34b8.png</x:v>
      </x:c>
      <x:c r="M154" s="8" t="str">
        <x:v>VFuaQ6m2Qom_f0be18aa2f1d4aa2b6adf355a86f34b8</x:v>
      </x:c>
    </x:row>
    <x:row r="155" ht="44" customHeight="1">
      <x:c r="A155" s="8" t="str">
        <x:v>VFuaQ6m2Qom</x:v>
      </x:c>
      <x:c r="B155" s="8" t="n">
        <x:v>11</x:v>
      </x:c>
      <x:c r="C155" s="8" t="str">
        <x:v>卫浴</x:v>
      </x:c>
      <x:c r="D155" s="8" t="str">
        <x:v>早期争议复核导出.user_type</x:v>
      </x:c>
      <x:c r="E155" s="8" t="str">
        <x:v>卫浴</x:v>
      </x:c>
      <x:c r="F155" s="8" t="str">
        <x:v>卫浴</x:v>
      </x:c>
      <x:c r="G155" s="8" t="n">
        <x:v>0</x:v>
      </x:c>
      <x:c r="H155" s="8" t="n">
        <x:v>0</x:v>
      </x:c>
      <x:c r="I155" s="8" t="n">
        <x:v>0</x:v>
      </x:c>
      <x:c r="J155" s="8" t="n">
        <x:v>19</x:v>
      </x:c>
      <x:c r="K155" s="8" t="str">
        <x:v>["G057"]</x:v>
      </x:c>
      <x:c r="L155" s="8" t="str">
        <x:v>https://github.com/Sparkling-Flames/3D_Manhattan_label/blob/844a4694627e1eacc6bfb48911897335e48ecc17/data/mp3d_layout/valid/img/VFuaQ6m2Qom_f75a440593bb4140b899730917096859.png</x:v>
      </x:c>
      <x:c r="M155" s="8" t="str">
        <x:v>VFuaQ6m2Qom_f75a440593bb4140b899730917096859</x:v>
      </x:c>
    </x:row>
    <x:row r="156" ht="44" customHeight="1">
      <x:c r="A156" s="8" t="str">
        <x:v>VLzqgDo317F</x:v>
      </x:c>
      <x:c r="B156" s="8" t="n">
        <x:v>1</x:v>
      </x:c>
      <x:c r="C156" s="8" t="str">
        <x:v>起居与休闲</x:v>
      </x:c>
      <x:c r="D156" s="8" t="str">
        <x:v>早期争议复核导出.user_type</x:v>
      </x:c>
      <x:c r="E156" s="8" t="str">
        <x:v>起居与休闲</x:v>
      </x:c>
      <x:c r="F156" s="8" t="str">
        <x:v>起居与休闲</x:v>
      </x:c>
      <x:c r="G156" s="8" t="n">
        <x:v>0</x:v>
      </x:c>
      <x:c r="H156" s="8" t="n">
        <x:v>0</x:v>
      </x:c>
      <x:c r="I156" s="8" t="n">
        <x:v>0</x:v>
      </x:c>
      <x:c r="J156" s="8" t="n">
        <x:v>19</x:v>
      </x:c>
      <x:c r="K156" s="8" t="str">
        <x:v>["G061", "G062"]</x:v>
      </x:c>
      <x:c r="L156" s="8" t="str">
        <x:v>https://github.com/Sparkling-Flames/3D_Manhattan_label/blob/844a4694627e1eacc6bfb48911897335e48ecc17/data/mp3d_layout/valid/img/VLzqgDo317F_35299a16cf1e447da4c15c443929c27a.png</x:v>
      </x:c>
      <x:c r="M156" s="8" t="str">
        <x:v>VLzqgDo317F_35299a16cf1e447da4c15c443929c27a</x:v>
      </x:c>
    </x:row>
    <x:row r="157" ht="44" customHeight="1">
      <x:c r="A157" s="8" t="str">
        <x:v>VLzqgDo317F</x:v>
      </x:c>
      <x:c r="B157" s="8" t="n">
        <x:v>2</x:v>
      </x:c>
      <x:c r="C157" s="8" t="str">
        <x:v>起居与休闲</x:v>
      </x:c>
      <x:c r="D157" s="8" t="str">
        <x:v>早期争议复核导出.user_type</x:v>
      </x:c>
      <x:c r="E157" s="8" t="str">
        <x:v>起居与休闲</x:v>
      </x:c>
      <x:c r="F157" s="8" t="str">
        <x:v>起居与休闲</x:v>
      </x:c>
      <x:c r="G157" s="8" t="n">
        <x:v>2</x:v>
      </x:c>
      <x:c r="H157" s="8" t="n">
        <x:v>2</x:v>
      </x:c>
      <x:c r="I157" s="8" t="n">
        <x:v>0</x:v>
      </x:c>
      <x:c r="J157" s="8" t="n">
        <x:v>17</x:v>
      </x:c>
      <x:c r="K157" s="8" t="str">
        <x:v>["G061"]</x:v>
      </x:c>
      <x:c r="L157" s="8" t="str">
        <x:v>https://github.com/Sparkling-Flames/3D_Manhattan_label/blob/844a4694627e1eacc6bfb48911897335e48ecc17/data/mp3d_layout/valid/img/VLzqgDo317F_5d3591edd7c546acaf99db40281b3409.png</x:v>
      </x:c>
      <x:c r="M157" s="8" t="str">
        <x:v>VLzqgDo317F_5d3591edd7c546acaf99db40281b3409</x:v>
      </x:c>
    </x:row>
    <x:row r="158" ht="44" customHeight="1">
      <x:c r="A158" s="8" t="str">
        <x:v>VLzqgDo317F</x:v>
      </x:c>
      <x:c r="B158" s="8" t="n">
        <x:v>3</x:v>
      </x:c>
      <x:c r="C158" s="8" t="str">
        <x:v>起居与休闲</x:v>
      </x:c>
      <x:c r="D158" s="8" t="str">
        <x:v>早期争议复核导出.user_type</x:v>
      </x:c>
      <x:c r="E158" s="8" t="str">
        <x:v>起居与休闲</x:v>
      </x:c>
      <x:c r="F158" s="8" t="str">
        <x:v>起居与休闲</x:v>
      </x:c>
      <x:c r="G158" s="8" t="n">
        <x:v>0</x:v>
      </x:c>
      <x:c r="H158" s="8" t="n">
        <x:v>0</x:v>
      </x:c>
      <x:c r="I158" s="8" t="n">
        <x:v>0</x:v>
      </x:c>
      <x:c r="J158" s="8" t="n">
        <x:v>19</x:v>
      </x:c>
      <x:c r="K158" s="8" t="str">
        <x:v>["G062"]</x:v>
      </x:c>
      <x:c r="L158" s="8" t="str">
        <x:v>https://github.com/Sparkling-Flames/3D_Manhattan_label/blob/844a4694627e1eacc6bfb48911897335e48ecc17/data/mp3d_layout/valid/img/VLzqgDo317F_79ee9be0827a4de19da5b3e475e3ae0a.png</x:v>
      </x:c>
      <x:c r="M158" s="8" t="str">
        <x:v>VLzqgDo317F_79ee9be0827a4de19da5b3e475e3ae0a</x:v>
      </x:c>
    </x:row>
    <x:row r="159" ht="44" customHeight="1">
      <x:c r="A159" s="8" t="str">
        <x:v>X7HyMhZNoso</x:v>
      </x:c>
      <x:c r="B159" s="8" t="n">
        <x:v>1</x:v>
      </x:c>
      <x:c r="C159" s="8" t="str">
        <x:v>通行与连接</x:v>
      </x:c>
      <x:c r="D159" s="8" t="str">
        <x:v>早期争议复核导出.user_type</x:v>
      </x:c>
      <x:c r="E159" s="8" t="str">
        <x:v>通行与连接</x:v>
      </x:c>
      <x:c r="F159" s="8" t="str"/>
      <x:c r="G159" s="8" t="n">
        <x:v>0</x:v>
      </x:c>
      <x:c r="H159" s="8" t="n">
        <x:v>0</x:v>
      </x:c>
      <x:c r="I159" s="8" t="n">
        <x:v>0</x:v>
      </x:c>
      <x:c r="J159" s="8" t="n">
        <x:v>19</x:v>
      </x:c>
      <x:c r="K159" s="8" t="str">
        <x:v>[]</x:v>
      </x:c>
      <x:c r="L159" s="8" t="str">
        <x:v>https://github.com/Sparkling-Flames/3D_Manhattan_label/blob/844a4694627e1eacc6bfb48911897335e48ecc17/data/mp3d_layout/test/img/X7HyMhZNoso_0595477618f44940b004970372df16dc.png</x:v>
      </x:c>
      <x:c r="M159" s="8" t="str">
        <x:v>X7HyMhZNoso_0595477618f44940b004970372df16dc</x:v>
      </x:c>
    </x:row>
    <x:row r="160" ht="44" customHeight="1">
      <x:c r="A160" s="8" t="str">
        <x:v>X7HyMhZNoso</x:v>
      </x:c>
      <x:c r="B160" s="8" t="n">
        <x:v>2</x:v>
      </x:c>
      <x:c r="C160" s="8" t="str">
        <x:v>卧室</x:v>
      </x:c>
      <x:c r="D160" s="8" t="str">
        <x:v>早期争议复核导出.user_type</x:v>
      </x:c>
      <x:c r="E160" s="8" t="str">
        <x:v>卧室</x:v>
      </x:c>
      <x:c r="F160" s="8" t="str">
        <x:v>卧室</x:v>
      </x:c>
      <x:c r="G160" s="8" t="n">
        <x:v>0</x:v>
      </x:c>
      <x:c r="H160" s="8" t="n">
        <x:v>0</x:v>
      </x:c>
      <x:c r="I160" s="8" t="n">
        <x:v>0</x:v>
      </x:c>
      <x:c r="J160" s="8" t="n">
        <x:v>19</x:v>
      </x:c>
      <x:c r="K160" s="8" t="str">
        <x:v>["G063"]</x:v>
      </x:c>
      <x:c r="L160" s="8" t="str">
        <x:v>https://github.com/Sparkling-Flames/3D_Manhattan_label/blob/844a4694627e1eacc6bfb48911897335e48ecc17/data/mp3d_layout/test/img/X7HyMhZNoso_0e0c08b705704f80b5f31c2bd3a40583.png</x:v>
      </x:c>
      <x:c r="M160" s="8" t="str">
        <x:v>X7HyMhZNoso_0e0c08b705704f80b5f31c2bd3a40583</x:v>
      </x:c>
    </x:row>
    <x:row r="161" ht="44" customHeight="1">
      <x:c r="A161" s="8" t="str">
        <x:v>X7HyMhZNoso</x:v>
      </x:c>
      <x:c r="B161" s="8" t="n">
        <x:v>3</x:v>
      </x:c>
      <x:c r="C161" s="8" t="str">
        <x:v>卧室</x:v>
      </x:c>
      <x:c r="D161" s="8" t="str">
        <x:v>早期争议复核导出.user_type</x:v>
      </x:c>
      <x:c r="E161" s="8" t="str">
        <x:v>卧室</x:v>
      </x:c>
      <x:c r="F161" s="8" t="str">
        <x:v>卧室</x:v>
      </x:c>
      <x:c r="G161" s="8" t="n">
        <x:v>0</x:v>
      </x:c>
      <x:c r="H161" s="8" t="n">
        <x:v>0</x:v>
      </x:c>
      <x:c r="I161" s="8" t="n">
        <x:v>0</x:v>
      </x:c>
      <x:c r="J161" s="8" t="n">
        <x:v>19</x:v>
      </x:c>
      <x:c r="K161" s="8" t="str">
        <x:v>["G064", "G065"]</x:v>
      </x:c>
      <x:c r="L161" s="8" t="str">
        <x:v>https://github.com/Sparkling-Flames/3D_Manhattan_label/blob/844a4694627e1eacc6bfb48911897335e48ecc17/data/mp3d_layout/test/img/X7HyMhZNoso_0e8aea225d0942f494fd2255f49eb314.png</x:v>
      </x:c>
      <x:c r="M161" s="8" t="str">
        <x:v>X7HyMhZNoso_0e8aea225d0942f494fd2255f49eb314</x:v>
      </x:c>
    </x:row>
    <x:row r="162" ht="44" customHeight="1">
      <x:c r="A162" s="8" t="str">
        <x:v>X7HyMhZNoso</x:v>
      </x:c>
      <x:c r="B162" s="8" t="n">
        <x:v>4</x:v>
      </x:c>
      <x:c r="C162" s="8" t="str">
        <x:v>起居与休闲</x:v>
      </x:c>
      <x:c r="D162" s="8" t="str">
        <x:v>早期争议复核导出.user_type</x:v>
      </x:c>
      <x:c r="E162" s="8" t="str">
        <x:v>起居与休闲</x:v>
      </x:c>
      <x:c r="F162" s="8" t="str">
        <x:v>开放复合空间</x:v>
      </x:c>
      <x:c r="G162" s="8" t="n">
        <x:v>0</x:v>
      </x:c>
      <x:c r="H162" s="8" t="n">
        <x:v>0</x:v>
      </x:c>
      <x:c r="I162" s="8" t="n">
        <x:v>0</x:v>
      </x:c>
      <x:c r="J162" s="8" t="n">
        <x:v>19</x:v>
      </x:c>
      <x:c r="K162" s="8" t="str">
        <x:v>["G066"]</x:v>
      </x:c>
      <x:c r="L162" s="8" t="str">
        <x:v>https://github.com/Sparkling-Flames/3D_Manhattan_label/blob/844a4694627e1eacc6bfb48911897335e48ecc17/data/mp3d_layout/test/img/X7HyMhZNoso_215ab480f5084ac992c0d0e6b3e82268.png</x:v>
      </x:c>
      <x:c r="M162" s="8" t="str">
        <x:v>X7HyMhZNoso_215ab480f5084ac992c0d0e6b3e82268</x:v>
      </x:c>
    </x:row>
    <x:row r="163" ht="44" customHeight="1">
      <x:c r="A163" s="8" t="str">
        <x:v>X7HyMhZNoso</x:v>
      </x:c>
      <x:c r="B163" s="8" t="n">
        <x:v>5</x:v>
      </x:c>
      <x:c r="C163" s="8" t="str">
        <x:v>待拆解(null)</x:v>
      </x:c>
      <x:c r="D163" s="8" t="str">
        <x:v>早期争议复核导出.user_type</x:v>
      </x:c>
      <x:c r="E163" s="8" t="str">
        <x:v>复合／待定</x:v>
      </x:c>
      <x:c r="F163" s="8" t="str">
        <x:v>无法判断</x:v>
      </x:c>
      <x:c r="G163" s="8" t="n">
        <x:v>0</x:v>
      </x:c>
      <x:c r="H163" s="8" t="n">
        <x:v>0</x:v>
      </x:c>
      <x:c r="I163" s="8" t="n">
        <x:v>26</x:v>
      </x:c>
      <x:c r="J163" s="8" t="n">
        <x:v>0</x:v>
      </x:c>
      <x:c r="K163" s="8" t="str">
        <x:v>["G067"]</x:v>
      </x:c>
      <x:c r="L163" s="8" t="str">
        <x:v>https://github.com/Sparkling-Flames/3D_Manhattan_label/blob/844a4694627e1eacc6bfb48911897335e48ecc17/data/mp3d_layout/test/img/X7HyMhZNoso_28ada927582d4d6ea7cf44cabf31527a.png</x:v>
      </x:c>
      <x:c r="M163" s="8" t="str">
        <x:v>X7HyMhZNoso_28ada927582d4d6ea7cf44cabf31527a</x:v>
      </x:c>
    </x:row>
    <x:row r="164" ht="44" customHeight="1">
      <x:c r="A164" s="8" t="str">
        <x:v>X7HyMhZNoso</x:v>
      </x:c>
      <x:c r="B164" s="8" t="n">
        <x:v>6</x:v>
      </x:c>
      <x:c r="C164" s="8" t="str">
        <x:v>卫浴</x:v>
      </x:c>
      <x:c r="D164" s="8" t="str">
        <x:v>早期争议复核导出.user_type</x:v>
      </x:c>
      <x:c r="E164" s="8" t="str">
        <x:v>卫浴</x:v>
      </x:c>
      <x:c r="F164" s="8" t="str">
        <x:v>卫浴</x:v>
      </x:c>
      <x:c r="G164" s="8" t="n">
        <x:v>0</x:v>
      </x:c>
      <x:c r="H164" s="8" t="n">
        <x:v>0</x:v>
      </x:c>
      <x:c r="I164" s="8" t="n">
        <x:v>0</x:v>
      </x:c>
      <x:c r="J164" s="8" t="n">
        <x:v>19</x:v>
      </x:c>
      <x:c r="K164" s="8" t="str">
        <x:v>[]</x:v>
      </x:c>
      <x:c r="L164" s="8" t="str">
        <x:v>https://github.com/Sparkling-Flames/3D_Manhattan_label/blob/844a4694627e1eacc6bfb48911897335e48ecc17/data/mp3d_layout/test/img/X7HyMhZNoso_29a5eef6980d4798bcc58e4c96e198cc.png</x:v>
      </x:c>
      <x:c r="M164" s="8" t="str">
        <x:v>X7HyMhZNoso_29a5eef6980d4798bcc58e4c96e198cc</x:v>
      </x:c>
    </x:row>
    <x:row r="165" ht="44" customHeight="1">
      <x:c r="A165" s="8" t="str">
        <x:v>X7HyMhZNoso</x:v>
      </x:c>
      <x:c r="B165" s="8" t="n">
        <x:v>7</x:v>
      </x:c>
      <x:c r="C165" s="8" t="str">
        <x:v>厨房与用餐</x:v>
      </x:c>
      <x:c r="D165" s="8" t="str">
        <x:v>早期争议复核导出.user_type</x:v>
      </x:c>
      <x:c r="E165" s="8" t="str">
        <x:v>厨房与用餐</x:v>
      </x:c>
      <x:c r="F165" s="8" t="str">
        <x:v>开放复合空间</x:v>
      </x:c>
      <x:c r="G165" s="8" t="n">
        <x:v>5</x:v>
      </x:c>
      <x:c r="H165" s="8" t="n">
        <x:v>5</x:v>
      </x:c>
      <x:c r="I165" s="8" t="n">
        <x:v>0</x:v>
      </x:c>
      <x:c r="J165" s="8" t="n">
        <x:v>14</x:v>
      </x:c>
      <x:c r="K165" s="8" t="str">
        <x:v>["G066"]</x:v>
      </x:c>
      <x:c r="L165" s="8" t="str">
        <x:v>https://github.com/Sparkling-Flames/3D_Manhattan_label/blob/844a4694627e1eacc6bfb48911897335e48ecc17/data/mp3d_layout/test/img/X7HyMhZNoso_2b16acff0dc042a1a75816a1fbd0a302.png</x:v>
      </x:c>
      <x:c r="M165" s="8" t="str">
        <x:v>X7HyMhZNoso_2b16acff0dc042a1a75816a1fbd0a302</x:v>
      </x:c>
    </x:row>
    <x:row r="166" ht="44" customHeight="1">
      <x:c r="A166" s="8" t="str">
        <x:v>X7HyMhZNoso</x:v>
      </x:c>
      <x:c r="B166" s="8" t="n">
        <x:v>8</x:v>
      </x:c>
      <x:c r="C166" s="8" t="str">
        <x:v>起居与休闲</x:v>
      </x:c>
      <x:c r="D166" s="8" t="str">
        <x:v>早期争议复核导出.user_type</x:v>
      </x:c>
      <x:c r="E166" s="8" t="str">
        <x:v>起居与休闲</x:v>
      </x:c>
      <x:c r="F166" s="8" t="str">
        <x:v>起居与休闲</x:v>
      </x:c>
      <x:c r="G166" s="8" t="n">
        <x:v>0</x:v>
      </x:c>
      <x:c r="H166" s="8" t="n">
        <x:v>0</x:v>
      </x:c>
      <x:c r="I166" s="8" t="n">
        <x:v>0</x:v>
      </x:c>
      <x:c r="J166" s="8" t="n">
        <x:v>19</x:v>
      </x:c>
      <x:c r="K166" s="8" t="str">
        <x:v>["G068"]</x:v>
      </x:c>
      <x:c r="L166" s="8" t="str">
        <x:v>https://github.com/Sparkling-Flames/3D_Manhattan_label/blob/844a4694627e1eacc6bfb48911897335e48ecc17/data/mp3d_layout/test/img/X7HyMhZNoso_2bb4931911e4412cb51f6437a82c5b6c.png</x:v>
      </x:c>
      <x:c r="M166" s="8" t="str">
        <x:v>X7HyMhZNoso_2bb4931911e4412cb51f6437a82c5b6c</x:v>
      </x:c>
    </x:row>
    <x:row r="167" ht="44" customHeight="1">
      <x:c r="A167" s="8" t="str">
        <x:v>X7HyMhZNoso</x:v>
      </x:c>
      <x:c r="B167" s="8" t="n">
        <x:v>9</x:v>
      </x:c>
      <x:c r="C167" s="8" t="str">
        <x:v>卫浴</x:v>
      </x:c>
      <x:c r="D167" s="8" t="str">
        <x:v>早期争议复核导出.user_type</x:v>
      </x:c>
      <x:c r="E167" s="8" t="str">
        <x:v>卫浴</x:v>
      </x:c>
      <x:c r="F167" s="8" t="str">
        <x:v>卫浴</x:v>
      </x:c>
      <x:c r="G167" s="8" t="n">
        <x:v>0</x:v>
      </x:c>
      <x:c r="H167" s="8" t="n">
        <x:v>0</x:v>
      </x:c>
      <x:c r="I167" s="8" t="n">
        <x:v>0</x:v>
      </x:c>
      <x:c r="J167" s="8" t="n">
        <x:v>19</x:v>
      </x:c>
      <x:c r="K167" s="8" t="str">
        <x:v>["G069", "G070"]</x:v>
      </x:c>
      <x:c r="L167" s="8" t="str">
        <x:v>https://github.com/Sparkling-Flames/3D_Manhattan_label/blob/844a4694627e1eacc6bfb48911897335e48ecc17/data/mp3d_layout/test/img/X7HyMhZNoso_2fa0da1a66e04428b315cb93b72143d5.png</x:v>
      </x:c>
      <x:c r="M167" s="8" t="str">
        <x:v>X7HyMhZNoso_2fa0da1a66e04428b315cb93b72143d5</x:v>
      </x:c>
    </x:row>
    <x:row r="168" ht="44" customHeight="1">
      <x:c r="A168" s="8" t="str">
        <x:v>X7HyMhZNoso</x:v>
      </x:c>
      <x:c r="B168" s="8" t="n">
        <x:v>10</x:v>
      </x:c>
      <x:c r="C168" s="8" t="str">
        <x:v>卧室</x:v>
      </x:c>
      <x:c r="D168" s="8" t="str">
        <x:v>早期争议复核导出.user_type</x:v>
      </x:c>
      <x:c r="E168" s="8" t="str">
        <x:v>卧室</x:v>
      </x:c>
      <x:c r="F168" s="8" t="str">
        <x:v>卧室</x:v>
      </x:c>
      <x:c r="G168" s="8" t="n">
        <x:v>0</x:v>
      </x:c>
      <x:c r="H168" s="8" t="n">
        <x:v>0</x:v>
      </x:c>
      <x:c r="I168" s="8" t="n">
        <x:v>0</x:v>
      </x:c>
      <x:c r="J168" s="8" t="n">
        <x:v>19</x:v>
      </x:c>
      <x:c r="K168" s="8" t="str">
        <x:v>["G064", "G071"]</x:v>
      </x:c>
      <x:c r="L168" s="8" t="str">
        <x:v>https://github.com/Sparkling-Flames/3D_Manhattan_label/blob/844a4694627e1eacc6bfb48911897335e48ecc17/data/mp3d_layout/test/img/X7HyMhZNoso_3cafb1bfb9084df995fff71810d7693f.png</x:v>
      </x:c>
      <x:c r="M168" s="8" t="str">
        <x:v>X7HyMhZNoso_3cafb1bfb9084df995fff71810d7693f</x:v>
      </x:c>
    </x:row>
    <x:row r="169" ht="44" customHeight="1">
      <x:c r="A169" s="8" t="str">
        <x:v>X7HyMhZNoso</x:v>
      </x:c>
      <x:c r="B169" s="8" t="n">
        <x:v>11</x:v>
      </x:c>
      <x:c r="C169" s="8" t="str">
        <x:v>起居与休闲</x:v>
      </x:c>
      <x:c r="D169" s="8" t="str">
        <x:v>早期争议复核导出.user_type</x:v>
      </x:c>
      <x:c r="E169" s="8" t="str">
        <x:v>起居与休闲</x:v>
      </x:c>
      <x:c r="F169" s="8" t="str">
        <x:v>起居与休闲</x:v>
      </x:c>
      <x:c r="G169" s="8" t="n">
        <x:v>0</x:v>
      </x:c>
      <x:c r="H169" s="8" t="n">
        <x:v>0</x:v>
      </x:c>
      <x:c r="I169" s="8" t="n">
        <x:v>0</x:v>
      </x:c>
      <x:c r="J169" s="8" t="n">
        <x:v>19</x:v>
      </x:c>
      <x:c r="K169" s="8" t="str">
        <x:v>["G068"]</x:v>
      </x:c>
      <x:c r="L169" s="8" t="str">
        <x:v>https://github.com/Sparkling-Flames/3D_Manhattan_label/blob/844a4694627e1eacc6bfb48911897335e48ecc17/data/mp3d_layout/test/img/X7HyMhZNoso_445ae0203f294b5c9889505576e37998.png</x:v>
      </x:c>
      <x:c r="M169" s="8" t="str">
        <x:v>X7HyMhZNoso_445ae0203f294b5c9889505576e37998</x:v>
      </x:c>
    </x:row>
    <x:row r="170" ht="44" customHeight="1">
      <x:c r="A170" s="8" t="str">
        <x:v>X7HyMhZNoso</x:v>
      </x:c>
      <x:c r="B170" s="8" t="n">
        <x:v>12</x:v>
      </x:c>
      <x:c r="C170" s="8" t="str">
        <x:v>起居与休闲</x:v>
      </x:c>
      <x:c r="D170" s="8" t="str">
        <x:v>早期争议复核导出.user_type</x:v>
      </x:c>
      <x:c r="E170" s="8" t="str">
        <x:v>起居与休闲</x:v>
      </x:c>
      <x:c r="F170" s="8" t="str">
        <x:v>起居与休闲</x:v>
      </x:c>
      <x:c r="G170" s="8" t="n">
        <x:v>0</x:v>
      </x:c>
      <x:c r="H170" s="8" t="n">
        <x:v>0</x:v>
      </x:c>
      <x:c r="I170" s="8" t="n">
        <x:v>0</x:v>
      </x:c>
      <x:c r="J170" s="8" t="n">
        <x:v>19</x:v>
      </x:c>
      <x:c r="K170" s="8" t="str">
        <x:v>["G068"]</x:v>
      </x:c>
      <x:c r="L170" s="8" t="str">
        <x:v>https://github.com/Sparkling-Flames/3D_Manhattan_label/blob/844a4694627e1eacc6bfb48911897335e48ecc17/data/mp3d_layout/test/img/X7HyMhZNoso_84cc1504051f4b1c9492dfab5dce84f9.png</x:v>
      </x:c>
      <x:c r="M170" s="8" t="str">
        <x:v>X7HyMhZNoso_84cc1504051f4b1c9492dfab5dce84f9</x:v>
      </x:c>
    </x:row>
    <x:row r="171" ht="44" customHeight="1">
      <x:c r="A171" s="8" t="str">
        <x:v>X7HyMhZNoso</x:v>
      </x:c>
      <x:c r="B171" s="8" t="n">
        <x:v>13</x:v>
      </x:c>
      <x:c r="C171" s="8" t="str">
        <x:v>卫浴</x:v>
      </x:c>
      <x:c r="D171" s="8" t="str">
        <x:v>早期争议复核导出.user_type</x:v>
      </x:c>
      <x:c r="E171" s="8" t="str">
        <x:v>卫浴</x:v>
      </x:c>
      <x:c r="F171" s="8" t="str">
        <x:v>卫浴</x:v>
      </x:c>
      <x:c r="G171" s="8" t="n">
        <x:v>25</x:v>
      </x:c>
      <x:c r="H171" s="8" t="n">
        <x:v>19</x:v>
      </x:c>
      <x:c r="I171" s="8" t="n">
        <x:v>0</x:v>
      </x:c>
      <x:c r="J171" s="8" t="n">
        <x:v>0</x:v>
      </x:c>
      <x:c r="K171" s="8" t="str">
        <x:v>["G069", "G072"]</x:v>
      </x:c>
      <x:c r="L171" s="8" t="str">
        <x:v>https://github.com/Sparkling-Flames/3D_Manhattan_label/blob/844a4694627e1eacc6bfb48911897335e48ecc17/data/mp3d_layout/test/img/X7HyMhZNoso_987fd31155514f6facb131bd5c14881d.png</x:v>
      </x:c>
      <x:c r="M171" s="8" t="str">
        <x:v>X7HyMhZNoso_987fd31155514f6facb131bd5c14881d</x:v>
      </x:c>
    </x:row>
    <x:row r="172" ht="44" customHeight="1">
      <x:c r="A172" s="8" t="str">
        <x:v>X7HyMhZNoso</x:v>
      </x:c>
      <x:c r="B172" s="8" t="n">
        <x:v>14</x:v>
      </x:c>
      <x:c r="C172" s="8" t="str">
        <x:v>卧室</x:v>
      </x:c>
      <x:c r="D172" s="8" t="str">
        <x:v>早期争议复核导出.user_type</x:v>
      </x:c>
      <x:c r="E172" s="8" t="str">
        <x:v>卧室</x:v>
      </x:c>
      <x:c r="F172" s="8" t="str">
        <x:v>卧室</x:v>
      </x:c>
      <x:c r="G172" s="8" t="n">
        <x:v>0</x:v>
      </x:c>
      <x:c r="H172" s="8" t="n">
        <x:v>0</x:v>
      </x:c>
      <x:c r="I172" s="8" t="n">
        <x:v>0</x:v>
      </x:c>
      <x:c r="J172" s="8" t="n">
        <x:v>19</x:v>
      </x:c>
      <x:c r="K172" s="8" t="str">
        <x:v>["G065", "G073"]</x:v>
      </x:c>
      <x:c r="L172" s="8" t="str">
        <x:v>https://github.com/Sparkling-Flames/3D_Manhattan_label/blob/844a4694627e1eacc6bfb48911897335e48ecc17/data/mp3d_layout/test/img/X7HyMhZNoso_a59d092e0c50479089a85c2b36dd6d20.png</x:v>
      </x:c>
      <x:c r="M172" s="8" t="str">
        <x:v>X7HyMhZNoso_a59d092e0c50479089a85c2b36dd6d20</x:v>
      </x:c>
    </x:row>
    <x:row r="173" ht="44" customHeight="1">
      <x:c r="A173" s="8" t="str">
        <x:v>X7HyMhZNoso</x:v>
      </x:c>
      <x:c r="B173" s="8" t="n">
        <x:v>15</x:v>
      </x:c>
      <x:c r="C173" s="8" t="str">
        <x:v>厨房与用餐</x:v>
      </x:c>
      <x:c r="D173" s="8" t="str">
        <x:v>早期争议复核导出.user_type</x:v>
      </x:c>
      <x:c r="E173" s="8" t="str">
        <x:v>厨房与用餐</x:v>
      </x:c>
      <x:c r="F173" s="8" t="str">
        <x:v>开放复合空间</x:v>
      </x:c>
      <x:c r="G173" s="8" t="n">
        <x:v>0</x:v>
      </x:c>
      <x:c r="H173" s="8" t="n">
        <x:v>0</x:v>
      </x:c>
      <x:c r="I173" s="8" t="n">
        <x:v>0</x:v>
      </x:c>
      <x:c r="J173" s="8" t="n">
        <x:v>19</x:v>
      </x:c>
      <x:c r="K173" s="8" t="str">
        <x:v>["G066"]</x:v>
      </x:c>
      <x:c r="L173" s="8" t="str">
        <x:v>https://github.com/Sparkling-Flames/3D_Manhattan_label/blob/844a4694627e1eacc6bfb48911897335e48ecc17/data/mp3d_layout/test/img/X7HyMhZNoso_a60fbec046b04e5bb256d4a665219f35.png</x:v>
      </x:c>
      <x:c r="M173" s="8" t="str">
        <x:v>X7HyMhZNoso_a60fbec046b04e5bb256d4a665219f35</x:v>
      </x:c>
    </x:row>
    <x:row r="174" ht="44" customHeight="1">
      <x:c r="A174" s="8" t="str">
        <x:v>X7HyMhZNoso</x:v>
      </x:c>
      <x:c r="B174" s="8" t="n">
        <x:v>16</x:v>
      </x:c>
      <x:c r="C174" s="8" t="str">
        <x:v>储藏与家务辅助</x:v>
      </x:c>
      <x:c r="D174" s="8" t="str">
        <x:v>早期争议复核导出.user_type</x:v>
      </x:c>
      <x:c r="E174" s="8" t="str">
        <x:v>储藏与家务辅助</x:v>
      </x:c>
      <x:c r="F174" s="8" t="str">
        <x:v>储藏与家务辅助</x:v>
      </x:c>
      <x:c r="G174" s="8" t="n">
        <x:v>0</x:v>
      </x:c>
      <x:c r="H174" s="8" t="n">
        <x:v>0</x:v>
      </x:c>
      <x:c r="I174" s="8" t="n">
        <x:v>0</x:v>
      </x:c>
      <x:c r="J174" s="8" t="n">
        <x:v>19</x:v>
      </x:c>
      <x:c r="K174" s="8" t="str">
        <x:v>[]</x:v>
      </x:c>
      <x:c r="L174" s="8" t="str">
        <x:v>https://github.com/Sparkling-Flames/3D_Manhattan_label/blob/844a4694627e1eacc6bfb48911897335e48ecc17/data/mp3d_layout/test/img/X7HyMhZNoso_a830b673f439458aa54a716194d972b7.png</x:v>
      </x:c>
      <x:c r="M174" s="8" t="str">
        <x:v>X7HyMhZNoso_a830b673f439458aa54a716194d972b7</x:v>
      </x:c>
    </x:row>
    <x:row r="175" ht="44" customHeight="1">
      <x:c r="A175" s="8" t="str">
        <x:v>X7HyMhZNoso</x:v>
      </x:c>
      <x:c r="B175" s="8" t="n">
        <x:v>17</x:v>
      </x:c>
      <x:c r="C175" s="8" t="str">
        <x:v>储藏与家务辅助</x:v>
      </x:c>
      <x:c r="D175" s="8" t="str">
        <x:v>早期争议复核导出.user_type</x:v>
      </x:c>
      <x:c r="E175" s="8" t="str">
        <x:v>储藏与家务辅助</x:v>
      </x:c>
      <x:c r="F175" s="8" t="str">
        <x:v>储藏与家务辅助</x:v>
      </x:c>
      <x:c r="G175" s="8" t="n">
        <x:v>0</x:v>
      </x:c>
      <x:c r="H175" s="8" t="n">
        <x:v>0</x:v>
      </x:c>
      <x:c r="I175" s="8" t="n">
        <x:v>0</x:v>
      </x:c>
      <x:c r="J175" s="8" t="n">
        <x:v>19</x:v>
      </x:c>
      <x:c r="K175" s="8" t="str">
        <x:v>[]</x:v>
      </x:c>
      <x:c r="L175" s="8" t="str">
        <x:v>https://github.com/Sparkling-Flames/3D_Manhattan_label/blob/844a4694627e1eacc6bfb48911897335e48ecc17/data/mp3d_layout/test/img/X7HyMhZNoso_b1e740fa45384144b55ef6675440756b.png</x:v>
      </x:c>
      <x:c r="M175" s="8" t="str">
        <x:v>X7HyMhZNoso_b1e740fa45384144b55ef6675440756b</x:v>
      </x:c>
    </x:row>
    <x:row r="176" ht="44" customHeight="1">
      <x:c r="A176" s="8" t="str">
        <x:v>X7HyMhZNoso</x:v>
      </x:c>
      <x:c r="B176" s="8" t="n">
        <x:v>18</x:v>
      </x:c>
      <x:c r="C176" s="8" t="str">
        <x:v>卫浴</x:v>
      </x:c>
      <x:c r="D176" s="8" t="str">
        <x:v>早期争议复核导出.user_type</x:v>
      </x:c>
      <x:c r="E176" s="8" t="str">
        <x:v>卫浴</x:v>
      </x:c>
      <x:c r="F176" s="8" t="str">
        <x:v>卫浴</x:v>
      </x:c>
      <x:c r="G176" s="8" t="n">
        <x:v>0</x:v>
      </x:c>
      <x:c r="H176" s="8" t="n">
        <x:v>0</x:v>
      </x:c>
      <x:c r="I176" s="8" t="n">
        <x:v>0</x:v>
      </x:c>
      <x:c r="J176" s="8" t="n">
        <x:v>19</x:v>
      </x:c>
      <x:c r="K176" s="8" t="str">
        <x:v>["G072"]</x:v>
      </x:c>
      <x:c r="L176" s="8" t="str">
        <x:v>https://github.com/Sparkling-Flames/3D_Manhattan_label/blob/844a4694627e1eacc6bfb48911897335e48ecc17/data/mp3d_layout/test/img/X7HyMhZNoso_b6bb4e844c5b43ad92904f258660bcaf.png</x:v>
      </x:c>
      <x:c r="M176" s="8" t="str">
        <x:v>X7HyMhZNoso_b6bb4e844c5b43ad92904f258660bcaf</x:v>
      </x:c>
    </x:row>
    <x:row r="177" ht="44" customHeight="1">
      <x:c r="A177" s="8" t="str">
        <x:v>X7HyMhZNoso</x:v>
      </x:c>
      <x:c r="B177" s="8" t="n">
        <x:v>19</x:v>
      </x:c>
      <x:c r="C177" s="8" t="str">
        <x:v>卫浴</x:v>
      </x:c>
      <x:c r="D177" s="8" t="str">
        <x:v>早期争议复核导出.user_type</x:v>
      </x:c>
      <x:c r="E177" s="8" t="str">
        <x:v>卫浴</x:v>
      </x:c>
      <x:c r="F177" s="8" t="str">
        <x:v>卫浴</x:v>
      </x:c>
      <x:c r="G177" s="8" t="n">
        <x:v>5</x:v>
      </x:c>
      <x:c r="H177" s="8" t="n">
        <x:v>4</x:v>
      </x:c>
      <x:c r="I177" s="8" t="n">
        <x:v>4</x:v>
      </x:c>
      <x:c r="J177" s="8" t="n">
        <x:v>11</x:v>
      </x:c>
      <x:c r="K177" s="8" t="str">
        <x:v>["G070"]</x:v>
      </x:c>
      <x:c r="L177" s="8" t="str">
        <x:v>https://github.com/Sparkling-Flames/3D_Manhattan_label/blob/844a4694627e1eacc6bfb48911897335e48ecc17/data/mp3d_layout/test/img/X7HyMhZNoso_b6f452209a62499795e5bd137214a7f9.png</x:v>
      </x:c>
      <x:c r="M177" s="8" t="str">
        <x:v>X7HyMhZNoso_b6f452209a62499795e5bd137214a7f9</x:v>
      </x:c>
    </x:row>
    <x:row r="178" ht="44" customHeight="1">
      <x:c r="A178" s="8" t="str">
        <x:v>X7HyMhZNoso</x:v>
      </x:c>
      <x:c r="B178" s="8" t="n">
        <x:v>20</x:v>
      </x:c>
      <x:c r="C178" s="8" t="str">
        <x:v>储藏与家务辅助</x:v>
      </x:c>
      <x:c r="D178" s="8" t="str">
        <x:v>早期争议复核导出.user_type</x:v>
      </x:c>
      <x:c r="E178" s="8" t="str">
        <x:v>储藏与家务辅助</x:v>
      </x:c>
      <x:c r="F178" s="8" t="str">
        <x:v>储藏与家务辅助</x:v>
      </x:c>
      <x:c r="G178" s="8" t="n">
        <x:v>0</x:v>
      </x:c>
      <x:c r="H178" s="8" t="n">
        <x:v>0</x:v>
      </x:c>
      <x:c r="I178" s="8" t="n">
        <x:v>0</x:v>
      </x:c>
      <x:c r="J178" s="8" t="n">
        <x:v>19</x:v>
      </x:c>
      <x:c r="K178" s="8" t="str">
        <x:v>[]</x:v>
      </x:c>
      <x:c r="L178" s="8" t="str">
        <x:v>https://github.com/Sparkling-Flames/3D_Manhattan_label/blob/844a4694627e1eacc6bfb48911897335e48ecc17/data/mp3d_layout/test/img/X7HyMhZNoso_cd608227f6c94b91af3db8bf6cd28abd.png</x:v>
      </x:c>
      <x:c r="M178" s="8" t="str">
        <x:v>X7HyMhZNoso_cd608227f6c94b91af3db8bf6cd28abd</x:v>
      </x:c>
    </x:row>
    <x:row r="179" ht="44" customHeight="1">
      <x:c r="A179" s="8" t="str">
        <x:v>X7HyMhZNoso</x:v>
      </x:c>
      <x:c r="B179" s="8" t="n">
        <x:v>21</x:v>
      </x:c>
      <x:c r="C179" s="8" t="str">
        <x:v>卧室</x:v>
      </x:c>
      <x:c r="D179" s="8" t="str">
        <x:v>早期争议复核导出.user_type</x:v>
      </x:c>
      <x:c r="E179" s="8" t="str">
        <x:v>卧室</x:v>
      </x:c>
      <x:c r="F179" s="8" t="str">
        <x:v>卧室</x:v>
      </x:c>
      <x:c r="G179" s="8" t="n">
        <x:v>0</x:v>
      </x:c>
      <x:c r="H179" s="8" t="n">
        <x:v>0</x:v>
      </x:c>
      <x:c r="I179" s="8" t="n">
        <x:v>0</x:v>
      </x:c>
      <x:c r="J179" s="8" t="n">
        <x:v>19</x:v>
      </x:c>
      <x:c r="K179" s="8" t="str">
        <x:v>["G063"]</x:v>
      </x:c>
      <x:c r="L179" s="8" t="str">
        <x:v>https://github.com/Sparkling-Flames/3D_Manhattan_label/blob/844a4694627e1eacc6bfb48911897335e48ecc17/data/mp3d_layout/test/img/X7HyMhZNoso_e40ff9839f0b4a35a25e9dc16d391ae4.png</x:v>
      </x:c>
      <x:c r="M179" s="8" t="str">
        <x:v>X7HyMhZNoso_e40ff9839f0b4a35a25e9dc16d391ae4</x:v>
      </x:c>
    </x:row>
    <x:row r="180" ht="44" customHeight="1">
      <x:c r="A180" s="8" t="str">
        <x:v>X7HyMhZNoso</x:v>
      </x:c>
      <x:c r="B180" s="8" t="n">
        <x:v>22</x:v>
      </x:c>
      <x:c r="C180" s="8" t="str">
        <x:v>卧室</x:v>
      </x:c>
      <x:c r="D180" s="8" t="str">
        <x:v>早期争议复核导出.user_type</x:v>
      </x:c>
      <x:c r="E180" s="8" t="str">
        <x:v>卧室</x:v>
      </x:c>
      <x:c r="F180" s="8" t="str">
        <x:v>卧室</x:v>
      </x:c>
      <x:c r="G180" s="8" t="n">
        <x:v>0</x:v>
      </x:c>
      <x:c r="H180" s="8" t="n">
        <x:v>0</x:v>
      </x:c>
      <x:c r="I180" s="8" t="n">
        <x:v>0</x:v>
      </x:c>
      <x:c r="J180" s="8" t="n">
        <x:v>19</x:v>
      </x:c>
      <x:c r="K180" s="8" t="str">
        <x:v>["G063"]</x:v>
      </x:c>
      <x:c r="L180" s="8" t="str">
        <x:v>https://github.com/Sparkling-Flames/3D_Manhattan_label/blob/844a4694627e1eacc6bfb48911897335e48ecc17/data/mp3d_layout/test/img/X7HyMhZNoso_e9ae19c83e6243dd81b7213ba5f8c329.png</x:v>
      </x:c>
      <x:c r="M180" s="8" t="str">
        <x:v>X7HyMhZNoso_e9ae19c83e6243dd81b7213ba5f8c329</x:v>
      </x:c>
    </x:row>
    <x:row r="181" ht="44" customHeight="1">
      <x:c r="A181" s="8" t="str">
        <x:v>X7HyMhZNoso</x:v>
      </x:c>
      <x:c r="B181" s="8" t="n">
        <x:v>23</x:v>
      </x:c>
      <x:c r="C181" s="8" t="str">
        <x:v>起居与休闲</x:v>
      </x:c>
      <x:c r="D181" s="8" t="str">
        <x:v>早期争议复核导出.user_type</x:v>
      </x:c>
      <x:c r="E181" s="8" t="str">
        <x:v>起居与休闲</x:v>
      </x:c>
      <x:c r="F181" s="8" t="str">
        <x:v>起居与休闲</x:v>
      </x:c>
      <x:c r="G181" s="8" t="n">
        <x:v>0</x:v>
      </x:c>
      <x:c r="H181" s="8" t="n">
        <x:v>0</x:v>
      </x:c>
      <x:c r="I181" s="8" t="n">
        <x:v>0</x:v>
      </x:c>
      <x:c r="J181" s="8" t="n">
        <x:v>19</x:v>
      </x:c>
      <x:c r="K181" s="8" t="str">
        <x:v>["G068"]</x:v>
      </x:c>
      <x:c r="L181" s="8" t="str">
        <x:v>https://github.com/Sparkling-Flames/3D_Manhattan_label/blob/844a4694627e1eacc6bfb48911897335e48ecc17/data/mp3d_layout/test/img/X7HyMhZNoso_ecda3dd2f5a44ac3a7b365de9e13c09b.png</x:v>
      </x:c>
      <x:c r="M181" s="8" t="str">
        <x:v>X7HyMhZNoso_ecda3dd2f5a44ac3a7b365de9e13c09b</x:v>
      </x:c>
    </x:row>
    <x:row r="182" ht="44" customHeight="1">
      <x:c r="A182" s="8" t="str">
        <x:v>X7HyMhZNoso</x:v>
      </x:c>
      <x:c r="B182" s="8" t="n">
        <x:v>24</x:v>
      </x:c>
      <x:c r="C182" s="8" t="str">
        <x:v>卧室</x:v>
      </x:c>
      <x:c r="D182" s="8" t="str">
        <x:v>早期争议复核导出.user_type</x:v>
      </x:c>
      <x:c r="E182" s="8" t="str">
        <x:v>卧室</x:v>
      </x:c>
      <x:c r="F182" s="8" t="str">
        <x:v>卧室</x:v>
      </x:c>
      <x:c r="G182" s="8" t="n">
        <x:v>0</x:v>
      </x:c>
      <x:c r="H182" s="8" t="n">
        <x:v>0</x:v>
      </x:c>
      <x:c r="I182" s="8" t="n">
        <x:v>0</x:v>
      </x:c>
      <x:c r="J182" s="8" t="n">
        <x:v>19</x:v>
      </x:c>
      <x:c r="K182" s="8" t="str">
        <x:v>["G071", "G073"]</x:v>
      </x:c>
      <x:c r="L182" s="8" t="str">
        <x:v>https://github.com/Sparkling-Flames/3D_Manhattan_label/blob/844a4694627e1eacc6bfb48911897335e48ecc17/data/mp3d_layout/test/img/X7HyMhZNoso_efaff409ffad4b05ba2777dbadd554f6.png</x:v>
      </x:c>
      <x:c r="M182" s="8" t="str">
        <x:v>X7HyMhZNoso_efaff409ffad4b05ba2777dbadd554f6</x:v>
      </x:c>
    </x:row>
    <x:row r="183" ht="44" customHeight="1">
      <x:c r="A183" s="8" t="str">
        <x:v>X7HyMhZNoso</x:v>
      </x:c>
      <x:c r="B183" s="8" t="n">
        <x:v>25</x:v>
      </x:c>
      <x:c r="C183" s="8" t="str">
        <x:v>卧室</x:v>
      </x:c>
      <x:c r="D183" s="8" t="str">
        <x:v>早期争议复核导出.user_type</x:v>
      </x:c>
      <x:c r="E183" s="8" t="str">
        <x:v>卧室</x:v>
      </x:c>
      <x:c r="F183" s="8" t="str">
        <x:v>卧室</x:v>
      </x:c>
      <x:c r="G183" s="8" t="n">
        <x:v>0</x:v>
      </x:c>
      <x:c r="H183" s="8" t="n">
        <x:v>0</x:v>
      </x:c>
      <x:c r="I183" s="8" t="n">
        <x:v>0</x:v>
      </x:c>
      <x:c r="J183" s="8" t="n">
        <x:v>19</x:v>
      </x:c>
      <x:c r="K183" s="8" t="str">
        <x:v>["G063"]</x:v>
      </x:c>
      <x:c r="L183" s="8" t="str">
        <x:v>https://github.com/Sparkling-Flames/3D_Manhattan_label/blob/844a4694627e1eacc6bfb48911897335e48ecc17/data/mp3d_layout/test/img/X7HyMhZNoso_f03d055128104fd486151e54c9e4a32a.png</x:v>
      </x:c>
      <x:c r="M183" s="8" t="str">
        <x:v>X7HyMhZNoso_f03d055128104fd486151e54c9e4a32a</x:v>
      </x:c>
    </x:row>
    <x:row r="184" ht="44" customHeight="1">
      <x:c r="A184" s="8" t="str">
        <x:v>X7HyMhZNoso</x:v>
      </x:c>
      <x:c r="B184" s="8" t="n">
        <x:v>26</x:v>
      </x:c>
      <x:c r="C184" s="8" t="str">
        <x:v>待拆解(null)</x:v>
      </x:c>
      <x:c r="D184" s="8" t="str">
        <x:v>早期争议复核导出.user_type</x:v>
      </x:c>
      <x:c r="E184" s="8" t="str">
        <x:v>复合／待定</x:v>
      </x:c>
      <x:c r="F184" s="8" t="str">
        <x:v>无法判断</x:v>
      </x:c>
      <x:c r="G184" s="8" t="n">
        <x:v>0</x:v>
      </x:c>
      <x:c r="H184" s="8" t="n">
        <x:v>0</x:v>
      </x:c>
      <x:c r="I184" s="8" t="n">
        <x:v>0</x:v>
      </x:c>
      <x:c r="J184" s="8" t="n">
        <x:v>19</x:v>
      </x:c>
      <x:c r="K184" s="8" t="str">
        <x:v>["G067"]</x:v>
      </x:c>
      <x:c r="L184" s="8" t="str">
        <x:v>https://github.com/Sparkling-Flames/3D_Manhattan_label/blob/844a4694627e1eacc6bfb48911897335e48ecc17/data/mp3d_layout/test/img/X7HyMhZNoso_f59aa4dda2024d88ac3f9b22331b475b.png</x:v>
      </x:c>
      <x:c r="M184" s="8" t="str">
        <x:v>X7HyMhZNoso_f59aa4dda2024d88ac3f9b22331b475b</x:v>
      </x:c>
    </x:row>
    <x:row r="185" ht="44" customHeight="1">
      <x:c r="A185" s="8" t="str">
        <x:v>Z6MFQCViBuw</x:v>
      </x:c>
      <x:c r="B185" s="8" t="n">
        <x:v>1</x:v>
      </x:c>
      <x:c r="C185" s="8" t="str">
        <x:v>起居与休闲</x:v>
      </x:c>
      <x:c r="D185" s="8" t="str">
        <x:v>早期争议复核导出.user_type</x:v>
      </x:c>
      <x:c r="E185" s="8" t="str">
        <x:v>起居与休闲</x:v>
      </x:c>
      <x:c r="F185" s="8" t="str">
        <x:v>起居与休闲</x:v>
      </x:c>
      <x:c r="G185" s="8" t="n">
        <x:v>0</x:v>
      </x:c>
      <x:c r="H185" s="8" t="n">
        <x:v>0</x:v>
      </x:c>
      <x:c r="I185" s="8" t="n">
        <x:v>0</x:v>
      </x:c>
      <x:c r="J185" s="8" t="n">
        <x:v>19</x:v>
      </x:c>
      <x:c r="K185" s="8" t="str">
        <x:v>["G074", "G075", "G076"]</x:v>
      </x:c>
      <x:c r="L185" s="8" t="str">
        <x:v>https://github.com/Sparkling-Flames/3D_Manhattan_label/blob/844a4694627e1eacc6bfb48911897335e48ecc17/data/mp3d_layout/test/img/Z6MFQCViBuw_099d792dbfb2402ca355fd7ed860128f.png</x:v>
      </x:c>
      <x:c r="M185" s="8" t="str">
        <x:v>Z6MFQCViBuw_099d792dbfb2402ca355fd7ed860128f</x:v>
      </x:c>
    </x:row>
    <x:row r="186" ht="44" customHeight="1">
      <x:c r="A186" s="8" t="str">
        <x:v>Z6MFQCViBuw</x:v>
      </x:c>
      <x:c r="B186" s="8" t="n">
        <x:v>2</x:v>
      </x:c>
      <x:c r="C186" s="8" t="str">
        <x:v>厨房与用餐</x:v>
      </x:c>
      <x:c r="D186" s="8" t="str">
        <x:v>后续41图亲审.current_classification.coarse_type</x:v>
      </x:c>
      <x:c r="E186" s="8" t="str">
        <x:v>厨房与用餐</x:v>
      </x:c>
      <x:c r="F186" s="8" t="str">
        <x:v>厨房与用餐</x:v>
      </x:c>
      <x:c r="G186" s="8" t="n">
        <x:v>5</x:v>
      </x:c>
      <x:c r="H186" s="8" t="n">
        <x:v>4</x:v>
      </x:c>
      <x:c r="I186" s="8" t="n">
        <x:v>4</x:v>
      </x:c>
      <x:c r="J186" s="8" t="n">
        <x:v>12</x:v>
      </x:c>
      <x:c r="K186" s="8" t="str">
        <x:v>["G077", "G078"]</x:v>
      </x:c>
      <x:c r="L186" s="8" t="str">
        <x:v>https://github.com/Sparkling-Flames/3D_Manhattan_label/blob/844a4694627e1eacc6bfb48911897335e48ecc17/data/mp3d_layout/test/img/Z6MFQCViBuw_2008e72476f84104858e908beeac0193.png</x:v>
      </x:c>
      <x:c r="M186" s="8" t="str">
        <x:v>Z6MFQCViBuw_2008e72476f84104858e908beeac0193</x:v>
      </x:c>
    </x:row>
    <x:row r="187" ht="44" customHeight="1">
      <x:c r="A187" s="8" t="str">
        <x:v>Z6MFQCViBuw</x:v>
      </x:c>
      <x:c r="B187" s="8" t="n">
        <x:v>3</x:v>
      </x:c>
      <x:c r="C187" s="8" t="str">
        <x:v>待拆解(null)</x:v>
      </x:c>
      <x:c r="D187" s="8" t="str">
        <x:v>早期争议复核导出.user_type</x:v>
      </x:c>
      <x:c r="E187" s="8" t="str">
        <x:v>复合／待定</x:v>
      </x:c>
      <x:c r="F187" s="8" t="str">
        <x:v>特殊用途</x:v>
      </x:c>
      <x:c r="G187" s="8" t="n">
        <x:v>5</x:v>
      </x:c>
      <x:c r="H187" s="8" t="n">
        <x:v>5</x:v>
      </x:c>
      <x:c r="I187" s="8" t="n">
        <x:v>5</x:v>
      </x:c>
      <x:c r="J187" s="8" t="n">
        <x:v>9</x:v>
      </x:c>
      <x:c r="K187" s="8" t="str">
        <x:v>["G077", "G079"]</x:v>
      </x:c>
      <x:c r="L187" s="8" t="str">
        <x:v>https://github.com/Sparkling-Flames/3D_Manhattan_label/blob/844a4694627e1eacc6bfb48911897335e48ecc17/data/mp3d_layout/test/img/Z6MFQCViBuw_22fff6c74efb476592569c18718feb41.png</x:v>
      </x:c>
      <x:c r="M187" s="8" t="str">
        <x:v>Z6MFQCViBuw_22fff6c74efb476592569c18718feb41</x:v>
      </x:c>
    </x:row>
    <x:row r="188" ht="44" customHeight="1">
      <x:c r="A188" s="8" t="str">
        <x:v>Z6MFQCViBuw</x:v>
      </x:c>
      <x:c r="B188" s="8" t="n">
        <x:v>4</x:v>
      </x:c>
      <x:c r="C188" s="8" t="str">
        <x:v>卧室</x:v>
      </x:c>
      <x:c r="D188" s="8" t="str">
        <x:v>早期争议复核导出.user_type</x:v>
      </x:c>
      <x:c r="E188" s="8" t="str">
        <x:v>卧室</x:v>
      </x:c>
      <x:c r="F188" s="8" t="str">
        <x:v>卧室</x:v>
      </x:c>
      <x:c r="G188" s="8" t="n">
        <x:v>0</x:v>
      </x:c>
      <x:c r="H188" s="8" t="n">
        <x:v>0</x:v>
      </x:c>
      <x:c r="I188" s="8" t="n">
        <x:v>0</x:v>
      </x:c>
      <x:c r="J188" s="8" t="n">
        <x:v>19</x:v>
      </x:c>
      <x:c r="K188" s="8" t="str">
        <x:v>["G074"]</x:v>
      </x:c>
      <x:c r="L188" s="8" t="str">
        <x:v>https://github.com/Sparkling-Flames/3D_Manhattan_label/blob/844a4694627e1eacc6bfb48911897335e48ecc17/data/mp3d_layout/test/img/Z6MFQCViBuw_451088e169fd4fe3b14d1f26b18d9a27.png</x:v>
      </x:c>
      <x:c r="M188" s="8" t="str">
        <x:v>Z6MFQCViBuw_451088e169fd4fe3b14d1f26b18d9a27</x:v>
      </x:c>
    </x:row>
    <x:row r="189" ht="44" customHeight="1">
      <x:c r="A189" s="8" t="str">
        <x:v>Z6MFQCViBuw</x:v>
      </x:c>
      <x:c r="B189" s="8" t="n">
        <x:v>5</x:v>
      </x:c>
      <x:c r="C189" s="8" t="str">
        <x:v>厨房与用餐</x:v>
      </x:c>
      <x:c r="D189" s="8" t="str">
        <x:v>后续41图亲审.current_classification.coarse_type</x:v>
      </x:c>
      <x:c r="E189" s="8" t="str">
        <x:v>复合／待定</x:v>
      </x:c>
      <x:c r="F189" s="8" t="str">
        <x:v>厨房与用餐</x:v>
      </x:c>
      <x:c r="G189" s="8" t="n">
        <x:v>0</x:v>
      </x:c>
      <x:c r="H189" s="8" t="n">
        <x:v>0</x:v>
      </x:c>
      <x:c r="I189" s="8" t="n">
        <x:v>0</x:v>
      </x:c>
      <x:c r="J189" s="8" t="n">
        <x:v>19</x:v>
      </x:c>
      <x:c r="K189" s="8" t="str">
        <x:v>["G078"]</x:v>
      </x:c>
      <x:c r="L189" s="8" t="str">
        <x:v>https://github.com/Sparkling-Flames/3D_Manhattan_label/blob/844a4694627e1eacc6bfb48911897335e48ecc17/data/mp3d_layout/test/img/Z6MFQCViBuw_543e6efcc1e24215b18c4060255a9719.png</x:v>
      </x:c>
      <x:c r="M189" s="8" t="str">
        <x:v>Z6MFQCViBuw_543e6efcc1e24215b18c4060255a9719</x:v>
      </x:c>
    </x:row>
    <x:row r="190" ht="44" customHeight="1">
      <x:c r="A190" s="8" t="str">
        <x:v>Z6MFQCViBuw</x:v>
      </x:c>
      <x:c r="B190" s="8" t="n">
        <x:v>6</x:v>
      </x:c>
      <x:c r="C190" s="8" t="str">
        <x:v>起居与休闲</x:v>
      </x:c>
      <x:c r="D190" s="8" t="str">
        <x:v>早期争议复核导出.user_type</x:v>
      </x:c>
      <x:c r="E190" s="8" t="str">
        <x:v>起居与休闲</x:v>
      </x:c>
      <x:c r="F190" s="8" t="str">
        <x:v>起居与休闲</x:v>
      </x:c>
      <x:c r="G190" s="8" t="n">
        <x:v>5</x:v>
      </x:c>
      <x:c r="H190" s="8" t="n">
        <x:v>5</x:v>
      </x:c>
      <x:c r="I190" s="8" t="n">
        <x:v>0</x:v>
      </x:c>
      <x:c r="J190" s="8" t="n">
        <x:v>14</x:v>
      </x:c>
      <x:c r="K190" s="8" t="str">
        <x:v>["G075"]</x:v>
      </x:c>
      <x:c r="L190" s="8" t="str">
        <x:v>https://github.com/Sparkling-Flames/3D_Manhattan_label/blob/844a4694627e1eacc6bfb48911897335e48ecc17/data/mp3d_layout/test/img/Z6MFQCViBuw_59aed460238643f48f593e9b9ba1c17d.png</x:v>
      </x:c>
      <x:c r="M190" s="8" t="str">
        <x:v>Z6MFQCViBuw_59aed460238643f48f593e9b9ba1c17d</x:v>
      </x:c>
    </x:row>
    <x:row r="191" ht="44" customHeight="1">
      <x:c r="A191" s="8" t="str">
        <x:v>Z6MFQCViBuw</x:v>
      </x:c>
      <x:c r="B191" s="8" t="n">
        <x:v>7</x:v>
      </x:c>
      <x:c r="C191" s="8" t="str">
        <x:v>起居与休闲</x:v>
      </x:c>
      <x:c r="D191" s="8" t="str">
        <x:v>早期争议复核导出.user_type</x:v>
      </x:c>
      <x:c r="E191" s="8" t="str">
        <x:v>起居与休闲</x:v>
      </x:c>
      <x:c r="F191" s="8" t="str">
        <x:v>起居与休闲</x:v>
      </x:c>
      <x:c r="G191" s="8" t="n">
        <x:v>0</x:v>
      </x:c>
      <x:c r="H191" s="8" t="n">
        <x:v>0</x:v>
      </x:c>
      <x:c r="I191" s="8" t="n">
        <x:v>0</x:v>
      </x:c>
      <x:c r="J191" s="8" t="n">
        <x:v>19</x:v>
      </x:c>
      <x:c r="K191" s="8" t="str">
        <x:v>["G076"]</x:v>
      </x:c>
      <x:c r="L191" s="8" t="str">
        <x:v>https://github.com/Sparkling-Flames/3D_Manhattan_label/blob/844a4694627e1eacc6bfb48911897335e48ecc17/data/mp3d_layout/test/img/Z6MFQCViBuw_80cd596c480c4f72a7457433b862d179.png</x:v>
      </x:c>
      <x:c r="M191" s="8" t="str">
        <x:v>Z6MFQCViBuw_80cd596c480c4f72a7457433b862d179</x:v>
      </x:c>
    </x:row>
    <x:row r="192" ht="44" customHeight="1">
      <x:c r="A192" s="8" t="str">
        <x:v>Z6MFQCViBuw</x:v>
      </x:c>
      <x:c r="B192" s="8" t="n">
        <x:v>8</x:v>
      </x:c>
      <x:c r="C192" s="8" t="str">
        <x:v>厨房与用餐</x:v>
      </x:c>
      <x:c r="D192" s="8" t="str">
        <x:v>后续41图亲审.current_classification.coarse_type</x:v>
      </x:c>
      <x:c r="E192" s="8" t="str">
        <x:v>厨房与用餐</x:v>
      </x:c>
      <x:c r="F192" s="8" t="str">
        <x:v>厨房与用餐</x:v>
      </x:c>
      <x:c r="G192" s="8" t="n">
        <x:v>0</x:v>
      </x:c>
      <x:c r="H192" s="8" t="n">
        <x:v>0</x:v>
      </x:c>
      <x:c r="I192" s="8" t="n">
        <x:v>0</x:v>
      </x:c>
      <x:c r="J192" s="8" t="n">
        <x:v>19</x:v>
      </x:c>
      <x:c r="K192" s="8" t="str">
        <x:v>["G078"]</x:v>
      </x:c>
      <x:c r="L192" s="8" t="str">
        <x:v>https://github.com/Sparkling-Flames/3D_Manhattan_label/blob/844a4694627e1eacc6bfb48911897335e48ecc17/data/mp3d_layout/test/img/Z6MFQCViBuw_bc4ec1f735f3446aa4b56165d9508b45.png</x:v>
      </x:c>
      <x:c r="M192" s="8" t="str">
        <x:v>Z6MFQCViBuw_bc4ec1f735f3446aa4b56165d9508b45</x:v>
      </x:c>
    </x:row>
    <x:row r="193" ht="44" customHeight="1">
      <x:c r="A193" s="8" t="str">
        <x:v>Z6MFQCViBuw</x:v>
      </x:c>
      <x:c r="B193" s="8" t="n">
        <x:v>9</x:v>
      </x:c>
      <x:c r="C193" s="8" t="str">
        <x:v>厨房与用餐</x:v>
      </x:c>
      <x:c r="D193" s="8" t="str">
        <x:v>后续41图亲审.current_classification.coarse_type</x:v>
      </x:c>
      <x:c r="E193" s="8" t="str">
        <x:v>厨房与用餐</x:v>
      </x:c>
      <x:c r="F193" s="8" t="str">
        <x:v>厨房与用餐</x:v>
      </x:c>
      <x:c r="G193" s="8" t="n">
        <x:v>0</x:v>
      </x:c>
      <x:c r="H193" s="8" t="n">
        <x:v>0</x:v>
      </x:c>
      <x:c r="I193" s="8" t="n">
        <x:v>0</x:v>
      </x:c>
      <x:c r="J193" s="8" t="n">
        <x:v>19</x:v>
      </x:c>
      <x:c r="K193" s="8" t="str">
        <x:v>["G078"]</x:v>
      </x:c>
      <x:c r="L193" s="8" t="str">
        <x:v>https://github.com/Sparkling-Flames/3D_Manhattan_label/blob/844a4694627e1eacc6bfb48911897335e48ecc17/data/mp3d_layout/test/img/Z6MFQCViBuw_d9913cc77dc14f17b7228ac8de469b06.png</x:v>
      </x:c>
      <x:c r="M193" s="8" t="str">
        <x:v>Z6MFQCViBuw_d9913cc77dc14f17b7228ac8de469b06</x:v>
      </x:c>
    </x:row>
    <x:row r="194" ht="44" customHeight="1">
      <x:c r="A194" s="8" t="str">
        <x:v>Z6MFQCViBuw</x:v>
      </x:c>
      <x:c r="B194" s="8" t="n">
        <x:v>10</x:v>
      </x:c>
      <x:c r="C194" s="8" t="str">
        <x:v>待拆解(null)</x:v>
      </x:c>
      <x:c r="D194" s="8" t="str">
        <x:v>早期争议复核导出.user_type</x:v>
      </x:c>
      <x:c r="E194" s="8" t="str">
        <x:v>复合／待定</x:v>
      </x:c>
      <x:c r="F194" s="8" t="str">
        <x:v>特殊用途</x:v>
      </x:c>
      <x:c r="G194" s="8" t="n">
        <x:v>0</x:v>
      </x:c>
      <x:c r="H194" s="8" t="n">
        <x:v>0</x:v>
      </x:c>
      <x:c r="I194" s="8" t="n">
        <x:v>26</x:v>
      </x:c>
      <x:c r="J194" s="8" t="n">
        <x:v>0</x:v>
      </x:c>
      <x:c r="K194" s="8" t="str">
        <x:v>["G079"]</x:v>
      </x:c>
      <x:c r="L194" s="8" t="str">
        <x:v>https://github.com/Sparkling-Flames/3D_Manhattan_label/blob/844a4694627e1eacc6bfb48911897335e48ecc17/data/mp3d_layout/test/img/Z6MFQCViBuw_fbef2c9afec642c88d01cf09c90aec12.png</x:v>
      </x:c>
      <x:c r="M194" s="8" t="str">
        <x:v>Z6MFQCViBuw_fbef2c9afec642c88d01cf09c90aec12</x:v>
      </x:c>
    </x:row>
    <x:row r="195" ht="44" customHeight="1">
      <x:c r="A195" s="8" t="str">
        <x:v>ZMojNkEp431</x:v>
      </x:c>
      <x:c r="B195" s="8" t="n">
        <x:v>1</x:v>
      </x:c>
      <x:c r="C195" s="8" t="str">
        <x:v>工作与学习</x:v>
      </x:c>
      <x:c r="D195" s="8" t="str">
        <x:v>早期争议复核导出.user_type</x:v>
      </x:c>
      <x:c r="E195" s="8" t="str">
        <x:v>工作与学习</x:v>
      </x:c>
      <x:c r="F195" s="8" t="str">
        <x:v>工作与学习</x:v>
      </x:c>
      <x:c r="G195" s="8" t="n">
        <x:v>0</x:v>
      </x:c>
      <x:c r="H195" s="8" t="n">
        <x:v>0</x:v>
      </x:c>
      <x:c r="I195" s="8" t="n">
        <x:v>0</x:v>
      </x:c>
      <x:c r="J195" s="8" t="n">
        <x:v>19</x:v>
      </x:c>
      <x:c r="K195" s="8" t="str">
        <x:v>["G080"]</x:v>
      </x:c>
      <x:c r="L195" s="8" t="str">
        <x:v>https://github.com/Sparkling-Flames/3D_Manhattan_label/blob/844a4694627e1eacc6bfb48911897335e48ecc17/data/mp3d_layout/valid/img/ZMojNkEp431_1223ee164fc040c0bd13c366f7a22059.png</x:v>
      </x:c>
      <x:c r="M195" s="8" t="str">
        <x:v>ZMojNkEp431_1223ee164fc040c0bd13c366f7a22059</x:v>
      </x:c>
    </x:row>
    <x:row r="196" ht="44" customHeight="1">
      <x:c r="A196" s="8" t="str">
        <x:v>ZMojNkEp431</x:v>
      </x:c>
      <x:c r="B196" s="8" t="n">
        <x:v>2</x:v>
      </x:c>
      <x:c r="C196" s="8" t="str">
        <x:v>工作与学习</x:v>
      </x:c>
      <x:c r="D196" s="8" t="str">
        <x:v>早期争议复核导出.user_type</x:v>
      </x:c>
      <x:c r="E196" s="8" t="str">
        <x:v>工作与学习</x:v>
      </x:c>
      <x:c r="F196" s="8" t="str">
        <x:v>工作与学习</x:v>
      </x:c>
      <x:c r="G196" s="8" t="n">
        <x:v>0</x:v>
      </x:c>
      <x:c r="H196" s="8" t="n">
        <x:v>0</x:v>
      </x:c>
      <x:c r="I196" s="8" t="n">
        <x:v>0</x:v>
      </x:c>
      <x:c r="J196" s="8" t="n">
        <x:v>19</x:v>
      </x:c>
      <x:c r="K196" s="8" t="str">
        <x:v>["G080"]</x:v>
      </x:c>
      <x:c r="L196" s="8" t="str">
        <x:v>https://github.com/Sparkling-Flames/3D_Manhattan_label/blob/844a4694627e1eacc6bfb48911897335e48ecc17/data/mp3d_layout/valid/img/ZMojNkEp431_f1bb3acca4ed4aada739514b1f2a44bd.png</x:v>
      </x:c>
      <x:c r="M196" s="8" t="str">
        <x:v>ZMojNkEp431_f1bb3acca4ed4aada739514b1f2a44bd</x:v>
      </x:c>
    </x:row>
    <x:row r="197" ht="44" customHeight="1">
      <x:c r="A197" s="8" t="str">
        <x:v>b8cTxDM8gDG</x:v>
      </x:c>
      <x:c r="B197" s="8" t="n">
        <x:v>1</x:v>
      </x:c>
      <x:c r="C197" s="8" t="str">
        <x:v>起居与休闲</x:v>
      </x:c>
      <x:c r="D197" s="8" t="str">
        <x:v>早期争议复核导出.user_type</x:v>
      </x:c>
      <x:c r="E197" s="8" t="str">
        <x:v>起居与休闲</x:v>
      </x:c>
      <x:c r="F197" s="8" t="str">
        <x:v>起居与休闲</x:v>
      </x:c>
      <x:c r="G197" s="8" t="n">
        <x:v>0</x:v>
      </x:c>
      <x:c r="H197" s="8" t="n">
        <x:v>0</x:v>
      </x:c>
      <x:c r="I197" s="8" t="n">
        <x:v>0</x:v>
      </x:c>
      <x:c r="J197" s="8" t="n">
        <x:v>19</x:v>
      </x:c>
      <x:c r="K197" s="8" t="str">
        <x:v>[]</x:v>
      </x:c>
      <x:c r="L197" s="8" t="str">
        <x:v>https://github.com/Sparkling-Flames/3D_Manhattan_label/blob/844a4694627e1eacc6bfb48911897335e48ecc17/data/mp3d_layout/test/img/b8cTxDM8gDG_055056e12afe42578c6f429bc07159d2.png</x:v>
      </x:c>
      <x:c r="M197" s="8" t="str">
        <x:v>b8cTxDM8gDG_055056e12afe42578c6f429bc07159d2</x:v>
      </x:c>
    </x:row>
    <x:row r="198" ht="44" customHeight="1">
      <x:c r="A198" s="8" t="str">
        <x:v>b8cTxDM8gDG</x:v>
      </x:c>
      <x:c r="B198" s="8" t="n">
        <x:v>2</x:v>
      </x:c>
      <x:c r="C198" s="8" t="str">
        <x:v>卧室</x:v>
      </x:c>
      <x:c r="D198" s="8" t="str">
        <x:v>早期争议复核导出.user_type</x:v>
      </x:c>
      <x:c r="E198" s="8" t="str">
        <x:v>卧室</x:v>
      </x:c>
      <x:c r="F198" s="8" t="str">
        <x:v>卧室</x:v>
      </x:c>
      <x:c r="G198" s="8" t="n">
        <x:v>0</x:v>
      </x:c>
      <x:c r="H198" s="8" t="n">
        <x:v>0</x:v>
      </x:c>
      <x:c r="I198" s="8" t="n">
        <x:v>0</x:v>
      </x:c>
      <x:c r="J198" s="8" t="n">
        <x:v>19</x:v>
      </x:c>
      <x:c r="K198" s="8" t="str">
        <x:v>[]</x:v>
      </x:c>
      <x:c r="L198" s="8" t="str">
        <x:v>https://github.com/Sparkling-Flames/3D_Manhattan_label/blob/844a4694627e1eacc6bfb48911897335e48ecc17/data/mp3d_layout/test/img/b8cTxDM8gDG_12fc603ce4bc4cbd81c704e630f130bd.png</x:v>
      </x:c>
      <x:c r="M198" s="8" t="str">
        <x:v>b8cTxDM8gDG_12fc603ce4bc4cbd81c704e630f130bd</x:v>
      </x:c>
    </x:row>
    <x:row r="199" ht="44" customHeight="1">
      <x:c r="A199" s="8" t="str">
        <x:v>b8cTxDM8gDG</x:v>
      </x:c>
      <x:c r="B199" s="8" t="n">
        <x:v>3</x:v>
      </x:c>
      <x:c r="C199" s="8" t="str">
        <x:v>卧室</x:v>
      </x:c>
      <x:c r="D199" s="8" t="str">
        <x:v>早期争议复核导出.user_type</x:v>
      </x:c>
      <x:c r="E199" s="8" t="str">
        <x:v>卧室</x:v>
      </x:c>
      <x:c r="F199" s="8" t="str">
        <x:v>卧室</x:v>
      </x:c>
      <x:c r="G199" s="8" t="n">
        <x:v>0</x:v>
      </x:c>
      <x:c r="H199" s="8" t="n">
        <x:v>0</x:v>
      </x:c>
      <x:c r="I199" s="8" t="n">
        <x:v>0</x:v>
      </x:c>
      <x:c r="J199" s="8" t="n">
        <x:v>19</x:v>
      </x:c>
      <x:c r="K199" s="8" t="str">
        <x:v>["G081"]</x:v>
      </x:c>
      <x:c r="L199" s="8" t="str">
        <x:v>https://github.com/Sparkling-Flames/3D_Manhattan_label/blob/844a4694627e1eacc6bfb48911897335e48ecc17/data/mp3d_layout/test/img/b8cTxDM8gDG_184a9b92b85840d88bf5793da9aa9cba.png</x:v>
      </x:c>
      <x:c r="M199" s="8" t="str">
        <x:v>b8cTxDM8gDG_184a9b92b85840d88bf5793da9aa9cba</x:v>
      </x:c>
    </x:row>
    <x:row r="200" ht="44" customHeight="1">
      <x:c r="A200" s="8" t="str">
        <x:v>b8cTxDM8gDG</x:v>
      </x:c>
      <x:c r="B200" s="8" t="n">
        <x:v>4</x:v>
      </x:c>
      <x:c r="C200" s="8" t="str">
        <x:v>通行与连接</x:v>
      </x:c>
      <x:c r="D200" s="8" t="str">
        <x:v>早期争议复核导出.user_type</x:v>
      </x:c>
      <x:c r="E200" s="8" t="str">
        <x:v>通行与连接</x:v>
      </x:c>
      <x:c r="F200" s="8" t="str">
        <x:v>通行与连接</x:v>
      </x:c>
      <x:c r="G200" s="8" t="n">
        <x:v>26</x:v>
      </x:c>
      <x:c r="H200" s="8" t="n">
        <x:v>19</x:v>
      </x:c>
      <x:c r="I200" s="8" t="n">
        <x:v>0</x:v>
      </x:c>
      <x:c r="J200" s="8" t="n">
        <x:v>0</x:v>
      </x:c>
      <x:c r="K200" s="8" t="str">
        <x:v>["G082"]</x:v>
      </x:c>
      <x:c r="L200" s="8" t="str">
        <x:v>https://github.com/Sparkling-Flames/3D_Manhattan_label/blob/844a4694627e1eacc6bfb48911897335e48ecc17/data/mp3d_layout/test/img/b8cTxDM8gDG_298a2386166a43c8a04e1c24433f7d15.png</x:v>
      </x:c>
      <x:c r="M200" s="8" t="str">
        <x:v>b8cTxDM8gDG_298a2386166a43c8a04e1c24433f7d15</x:v>
      </x:c>
    </x:row>
    <x:row r="201" ht="44" customHeight="1">
      <x:c r="A201" s="8" t="str">
        <x:v>b8cTxDM8gDG</x:v>
      </x:c>
      <x:c r="B201" s="8" t="n">
        <x:v>5</x:v>
      </x:c>
      <x:c r="C201" s="8" t="str">
        <x:v>待拆解(null)</x:v>
      </x:c>
      <x:c r="D201" s="8" t="str">
        <x:v>早期争议复核导出.user_type</x:v>
      </x:c>
      <x:c r="E201" s="8" t="str">
        <x:v>复合／待定</x:v>
      </x:c>
      <x:c r="F201" s="8" t="str">
        <x:v>开放复合空间</x:v>
      </x:c>
      <x:c r="G201" s="8" t="n">
        <x:v>0</x:v>
      </x:c>
      <x:c r="H201" s="8" t="n">
        <x:v>0</x:v>
      </x:c>
      <x:c r="I201" s="8" t="n">
        <x:v>0</x:v>
      </x:c>
      <x:c r="J201" s="8" t="n">
        <x:v>19</x:v>
      </x:c>
      <x:c r="K201" s="8" t="str">
        <x:v>["G083", "G084"]</x:v>
      </x:c>
      <x:c r="L201" s="8" t="str">
        <x:v>https://github.com/Sparkling-Flames/3D_Manhattan_label/blob/844a4694627e1eacc6bfb48911897335e48ecc17/data/mp3d_layout/test/img/b8cTxDM8gDG_3638da5864ab4d2aa722479d9efa8b71.png</x:v>
      </x:c>
      <x:c r="M201" s="8" t="str">
        <x:v>b8cTxDM8gDG_3638da5864ab4d2aa722479d9efa8b71</x:v>
      </x:c>
    </x:row>
    <x:row r="202" ht="44" customHeight="1">
      <x:c r="A202" s="8" t="str">
        <x:v>b8cTxDM8gDG</x:v>
      </x:c>
      <x:c r="B202" s="8" t="n">
        <x:v>6</x:v>
      </x:c>
      <x:c r="C202" s="8" t="str">
        <x:v>通行与连接</x:v>
      </x:c>
      <x:c r="D202" s="8" t="str">
        <x:v>早期争议复核导出.user_type</x:v>
      </x:c>
      <x:c r="E202" s="8" t="str">
        <x:v>通行与连接</x:v>
      </x:c>
      <x:c r="F202" s="8" t="str">
        <x:v>通行与连接</x:v>
      </x:c>
      <x:c r="G202" s="8" t="n">
        <x:v>0</x:v>
      </x:c>
      <x:c r="H202" s="8" t="n">
        <x:v>0</x:v>
      </x:c>
      <x:c r="I202" s="8" t="n">
        <x:v>0</x:v>
      </x:c>
      <x:c r="J202" s="8" t="n">
        <x:v>19</x:v>
      </x:c>
      <x:c r="K202" s="8" t="str">
        <x:v>["G085"]</x:v>
      </x:c>
      <x:c r="L202" s="8" t="str">
        <x:v>https://github.com/Sparkling-Flames/3D_Manhattan_label/blob/844a4694627e1eacc6bfb48911897335e48ecc17/data/mp3d_layout/test/img/b8cTxDM8gDG_3892d409b66644439f5afcf3d296efbf.png</x:v>
      </x:c>
      <x:c r="M202" s="8" t="str">
        <x:v>b8cTxDM8gDG_3892d409b66644439f5afcf3d296efbf</x:v>
      </x:c>
    </x:row>
    <x:row r="203" ht="44" customHeight="1">
      <x:c r="A203" s="8" t="str">
        <x:v>b8cTxDM8gDG</x:v>
      </x:c>
      <x:c r="B203" s="8" t="n">
        <x:v>7</x:v>
      </x:c>
      <x:c r="C203" s="8" t="str">
        <x:v>卧室</x:v>
      </x:c>
      <x:c r="D203" s="8" t="str">
        <x:v>早期争议复核导出.user_type</x:v>
      </x:c>
      <x:c r="E203" s="8" t="str">
        <x:v>卧室</x:v>
      </x:c>
      <x:c r="F203" s="8" t="str">
        <x:v>卧室</x:v>
      </x:c>
      <x:c r="G203" s="8" t="n">
        <x:v>0</x:v>
      </x:c>
      <x:c r="H203" s="8" t="n">
        <x:v>0</x:v>
      </x:c>
      <x:c r="I203" s="8" t="n">
        <x:v>26</x:v>
      </x:c>
      <x:c r="J203" s="8" t="n">
        <x:v>0</x:v>
      </x:c>
      <x:c r="K203" s="8" t="str">
        <x:v>["G086"]</x:v>
      </x:c>
      <x:c r="L203" s="8" t="str">
        <x:v>https://github.com/Sparkling-Flames/3D_Manhattan_label/blob/844a4694627e1eacc6bfb48911897335e48ecc17/data/mp3d_layout/test/img/b8cTxDM8gDG_51c90ec9afc4495ab3788c6badc303df.png</x:v>
      </x:c>
      <x:c r="M203" s="8" t="str">
        <x:v>b8cTxDM8gDG_51c90ec9afc4495ab3788c6badc303df</x:v>
      </x:c>
    </x:row>
    <x:row r="204" ht="44" customHeight="1">
      <x:c r="A204" s="8" t="str">
        <x:v>b8cTxDM8gDG</x:v>
      </x:c>
      <x:c r="B204" s="8" t="n">
        <x:v>8</x:v>
      </x:c>
      <x:c r="C204" s="8" t="str">
        <x:v>通行与连接</x:v>
      </x:c>
      <x:c r="D204" s="8" t="str">
        <x:v>早期争议复核导出.user_type</x:v>
      </x:c>
      <x:c r="E204" s="8" t="str">
        <x:v>通行与连接</x:v>
      </x:c>
      <x:c r="F204" s="8" t="str">
        <x:v>通行与连接</x:v>
      </x:c>
      <x:c r="G204" s="8" t="n">
        <x:v>0</x:v>
      </x:c>
      <x:c r="H204" s="8" t="n">
        <x:v>0</x:v>
      </x:c>
      <x:c r="I204" s="8" t="n">
        <x:v>0</x:v>
      </x:c>
      <x:c r="J204" s="8" t="n">
        <x:v>19</x:v>
      </x:c>
      <x:c r="K204" s="8" t="str">
        <x:v>["G082"]</x:v>
      </x:c>
      <x:c r="L204" s="8" t="str">
        <x:v>https://github.com/Sparkling-Flames/3D_Manhattan_label/blob/844a4694627e1eacc6bfb48911897335e48ecc17/data/mp3d_layout/test/img/b8cTxDM8gDG_8316e9313299447bb1f574aaf8cbec73.png</x:v>
      </x:c>
      <x:c r="M204" s="8" t="str">
        <x:v>b8cTxDM8gDG_8316e9313299447bb1f574aaf8cbec73</x:v>
      </x:c>
    </x:row>
    <x:row r="205" ht="44" customHeight="1">
      <x:c r="A205" s="8" t="str">
        <x:v>b8cTxDM8gDG</x:v>
      </x:c>
      <x:c r="B205" s="8" t="n">
        <x:v>9</x:v>
      </x:c>
      <x:c r="C205" s="8" t="str">
        <x:v>厨房与用餐</x:v>
      </x:c>
      <x:c r="D205" s="8" t="str">
        <x:v>早期争议复核导出.user_type</x:v>
      </x:c>
      <x:c r="E205" s="8" t="str">
        <x:v>厨房与用餐</x:v>
      </x:c>
      <x:c r="F205" s="8" t="str">
        <x:v>开放复合空间</x:v>
      </x:c>
      <x:c r="G205" s="8" t="n">
        <x:v>0</x:v>
      </x:c>
      <x:c r="H205" s="8" t="n">
        <x:v>0</x:v>
      </x:c>
      <x:c r="I205" s="8" t="n">
        <x:v>0</x:v>
      </x:c>
      <x:c r="J205" s="8" t="n">
        <x:v>19</x:v>
      </x:c>
      <x:c r="K205" s="8" t="str">
        <x:v>["G087"]</x:v>
      </x:c>
      <x:c r="L205" s="8" t="str">
        <x:v>https://github.com/Sparkling-Flames/3D_Manhattan_label/blob/844a4694627e1eacc6bfb48911897335e48ecc17/data/mp3d_layout/test/img/b8cTxDM8gDG_afc1807e6a1946b79137c1a158526913.png</x:v>
      </x:c>
      <x:c r="M205" s="8" t="str">
        <x:v>b8cTxDM8gDG_afc1807e6a1946b79137c1a158526913</x:v>
      </x:c>
    </x:row>
    <x:row r="206" ht="44" customHeight="1">
      <x:c r="A206" s="8" t="str">
        <x:v>b8cTxDM8gDG</x:v>
      </x:c>
      <x:c r="B206" s="8" t="n">
        <x:v>10</x:v>
      </x:c>
      <x:c r="C206" s="8" t="str">
        <x:v>通行与连接</x:v>
      </x:c>
      <x:c r="D206" s="8" t="str">
        <x:v>早期争议复核导出.user_type</x:v>
      </x:c>
      <x:c r="E206" s="8" t="str">
        <x:v>通行与连接</x:v>
      </x:c>
      <x:c r="F206" s="8" t="str">
        <x:v>通行与连接</x:v>
      </x:c>
      <x:c r="G206" s="8" t="n">
        <x:v>0</x:v>
      </x:c>
      <x:c r="H206" s="8" t="n">
        <x:v>0</x:v>
      </x:c>
      <x:c r="I206" s="8" t="n">
        <x:v>0</x:v>
      </x:c>
      <x:c r="J206" s="8" t="n">
        <x:v>19</x:v>
      </x:c>
      <x:c r="K206" s="8" t="str">
        <x:v>["G082"]</x:v>
      </x:c>
      <x:c r="L206" s="8" t="str">
        <x:v>https://github.com/Sparkling-Flames/3D_Manhattan_label/blob/844a4694627e1eacc6bfb48911897335e48ecc17/data/mp3d_layout/test/img/b8cTxDM8gDG_b15db460058c41e8aa0c0720344daa30.png</x:v>
      </x:c>
      <x:c r="M206" s="8" t="str">
        <x:v>b8cTxDM8gDG_b15db460058c41e8aa0c0720344daa30</x:v>
      </x:c>
    </x:row>
    <x:row r="207" ht="44" customHeight="1">
      <x:c r="A207" s="8" t="str">
        <x:v>b8cTxDM8gDG</x:v>
      </x:c>
      <x:c r="B207" s="8" t="n">
        <x:v>11</x:v>
      </x:c>
      <x:c r="C207" s="8" t="str">
        <x:v>通行与连接</x:v>
      </x:c>
      <x:c r="D207" s="8" t="str">
        <x:v>早期争议复核导出.user_type</x:v>
      </x:c>
      <x:c r="E207" s="8" t="str">
        <x:v>通行与连接</x:v>
      </x:c>
      <x:c r="F207" s="8" t="str">
        <x:v>通行与连接</x:v>
      </x:c>
      <x:c r="G207" s="8" t="n">
        <x:v>0</x:v>
      </x:c>
      <x:c r="H207" s="8" t="n">
        <x:v>0</x:v>
      </x:c>
      <x:c r="I207" s="8" t="n">
        <x:v>0</x:v>
      </x:c>
      <x:c r="J207" s="8" t="n">
        <x:v>19</x:v>
      </x:c>
      <x:c r="K207" s="8" t="str">
        <x:v>["G085"]</x:v>
      </x:c>
      <x:c r="L207" s="8" t="str">
        <x:v>https://github.com/Sparkling-Flames/3D_Manhattan_label/blob/844a4694627e1eacc6bfb48911897335e48ecc17/data/mp3d_layout/test/img/b8cTxDM8gDG_bcd82ce0da1846a58f9d97b00e022af2.png</x:v>
      </x:c>
      <x:c r="M207" s="8" t="str">
        <x:v>b8cTxDM8gDG_bcd82ce0da1846a58f9d97b00e022af2</x:v>
      </x:c>
    </x:row>
    <x:row r="208" ht="44" customHeight="1">
      <x:c r="A208" s="8" t="str">
        <x:v>b8cTxDM8gDG</x:v>
      </x:c>
      <x:c r="B208" s="8" t="n">
        <x:v>12</x:v>
      </x:c>
      <x:c r="C208" s="8" t="str">
        <x:v>待拆解(null)</x:v>
      </x:c>
      <x:c r="D208" s="8" t="str">
        <x:v>早期争议复核导出.user_type</x:v>
      </x:c>
      <x:c r="E208" s="8" t="str">
        <x:v>复合／待定</x:v>
      </x:c>
      <x:c r="F208" s="8" t="str">
        <x:v>开放复合空间</x:v>
      </x:c>
      <x:c r="G208" s="8" t="n">
        <x:v>0</x:v>
      </x:c>
      <x:c r="H208" s="8" t="n">
        <x:v>0</x:v>
      </x:c>
      <x:c r="I208" s="8" t="n">
        <x:v>0</x:v>
      </x:c>
      <x:c r="J208" s="8" t="n">
        <x:v>19</x:v>
      </x:c>
      <x:c r="K208" s="8" t="str">
        <x:v>["G083"]</x:v>
      </x:c>
      <x:c r="L208" s="8" t="str">
        <x:v>https://github.com/Sparkling-Flames/3D_Manhattan_label/blob/844a4694627e1eacc6bfb48911897335e48ecc17/data/mp3d_layout/test/img/b8cTxDM8gDG_bd2d16e81707455eacd72cda7eb5d3d5.png</x:v>
      </x:c>
      <x:c r="M208" s="8" t="str">
        <x:v>b8cTxDM8gDG_bd2d16e81707455eacd72cda7eb5d3d5</x:v>
      </x:c>
    </x:row>
    <x:row r="209" ht="44" customHeight="1">
      <x:c r="A209" s="8" t="str">
        <x:v>b8cTxDM8gDG</x:v>
      </x:c>
      <x:c r="B209" s="8" t="n">
        <x:v>13</x:v>
      </x:c>
      <x:c r="C209" s="8" t="str">
        <x:v>待拆解(null)</x:v>
      </x:c>
      <x:c r="D209" s="8" t="str">
        <x:v>早期争议复核导出.user_type</x:v>
      </x:c>
      <x:c r="E209" s="8" t="str">
        <x:v>复合／待定</x:v>
      </x:c>
      <x:c r="F209" s="8" t="str"/>
      <x:c r="G209" s="8" t="n">
        <x:v>0</x:v>
      </x:c>
      <x:c r="H209" s="8" t="n">
        <x:v>0</x:v>
      </x:c>
      <x:c r="I209" s="8" t="n">
        <x:v>0</x:v>
      </x:c>
      <x:c r="J209" s="8" t="n">
        <x:v>19</x:v>
      </x:c>
      <x:c r="K209" s="8" t="str">
        <x:v>[]</x:v>
      </x:c>
      <x:c r="L209" s="8" t="str">
        <x:v>https://github.com/Sparkling-Flames/3D_Manhattan_label/blob/844a4694627e1eacc6bfb48911897335e48ecc17/data/mp3d_layout/test/img/b8cTxDM8gDG_d38c4ae95f5b4640a2696b923b80d1f4.png</x:v>
      </x:c>
      <x:c r="M209" s="8" t="str">
        <x:v>b8cTxDM8gDG_d38c4ae95f5b4640a2696b923b80d1f4</x:v>
      </x:c>
    </x:row>
    <x:row r="210" ht="44" customHeight="1">
      <x:c r="A210" s="8" t="str">
        <x:v>b8cTxDM8gDG</x:v>
      </x:c>
      <x:c r="B210" s="8" t="n">
        <x:v>14</x:v>
      </x:c>
      <x:c r="C210" s="8" t="str">
        <x:v>卧室</x:v>
      </x:c>
      <x:c r="D210" s="8" t="str">
        <x:v>早期争议复核导出.user_type</x:v>
      </x:c>
      <x:c r="E210" s="8" t="str">
        <x:v>卧室</x:v>
      </x:c>
      <x:c r="F210" s="8" t="str">
        <x:v>卧室</x:v>
      </x:c>
      <x:c r="G210" s="8" t="n">
        <x:v>0</x:v>
      </x:c>
      <x:c r="H210" s="8" t="n">
        <x:v>0</x:v>
      </x:c>
      <x:c r="I210" s="8" t="n">
        <x:v>0</x:v>
      </x:c>
      <x:c r="J210" s="8" t="n">
        <x:v>19</x:v>
      </x:c>
      <x:c r="K210" s="8" t="str">
        <x:v>["G088"]</x:v>
      </x:c>
      <x:c r="L210" s="8" t="str">
        <x:v>https://github.com/Sparkling-Flames/3D_Manhattan_label/blob/844a4694627e1eacc6bfb48911897335e48ecc17/data/mp3d_layout/test/img/b8cTxDM8gDG_d6f573aa1add4621af53ba492838ff45.png</x:v>
      </x:c>
      <x:c r="M210" s="8" t="str">
        <x:v>b8cTxDM8gDG_d6f573aa1add4621af53ba492838ff45</x:v>
      </x:c>
    </x:row>
    <x:row r="211" ht="44" customHeight="1">
      <x:c r="A211" s="8" t="str">
        <x:v>b8cTxDM8gDG</x:v>
      </x:c>
      <x:c r="B211" s="8" t="n">
        <x:v>15</x:v>
      </x:c>
      <x:c r="C211" s="8" t="str">
        <x:v>卫浴</x:v>
      </x:c>
      <x:c r="D211" s="8" t="str">
        <x:v>早期争议复核导出.user_type</x:v>
      </x:c>
      <x:c r="E211" s="8" t="str">
        <x:v>卫浴</x:v>
      </x:c>
      <x:c r="F211" s="8" t="str">
        <x:v>卫浴</x:v>
      </x:c>
      <x:c r="G211" s="8" t="n">
        <x:v>0</x:v>
      </x:c>
      <x:c r="H211" s="8" t="n">
        <x:v>0</x:v>
      </x:c>
      <x:c r="I211" s="8" t="n">
        <x:v>0</x:v>
      </x:c>
      <x:c r="J211" s="8" t="n">
        <x:v>19</x:v>
      </x:c>
      <x:c r="K211" s="8" t="str">
        <x:v>[]</x:v>
      </x:c>
      <x:c r="L211" s="8" t="str">
        <x:v>https://github.com/Sparkling-Flames/3D_Manhattan_label/blob/844a4694627e1eacc6bfb48911897335e48ecc17/data/mp3d_layout/test/img/b8cTxDM8gDG_dcbdda428eb846a586886b87d9552d0e.png</x:v>
      </x:c>
      <x:c r="M211" s="8" t="str">
        <x:v>b8cTxDM8gDG_dcbdda428eb846a586886b87d9552d0e</x:v>
      </x:c>
    </x:row>
    <x:row r="212" ht="44" customHeight="1">
      <x:c r="A212" s="8" t="str">
        <x:v>b8cTxDM8gDG</x:v>
      </x:c>
      <x:c r="B212" s="8" t="n">
        <x:v>16</x:v>
      </x:c>
      <x:c r="C212" s="8" t="str">
        <x:v>卧室</x:v>
      </x:c>
      <x:c r="D212" s="8" t="str">
        <x:v>早期争议复核导出.user_type</x:v>
      </x:c>
      <x:c r="E212" s="8" t="str">
        <x:v>卧室</x:v>
      </x:c>
      <x:c r="F212" s="8" t="str">
        <x:v>卧室</x:v>
      </x:c>
      <x:c r="G212" s="8" t="n">
        <x:v>0</x:v>
      </x:c>
      <x:c r="H212" s="8" t="n">
        <x:v>0</x:v>
      </x:c>
      <x:c r="I212" s="8" t="n">
        <x:v>0</x:v>
      </x:c>
      <x:c r="J212" s="8" t="n">
        <x:v>19</x:v>
      </x:c>
      <x:c r="K212" s="8" t="str">
        <x:v>["G081"]</x:v>
      </x:c>
      <x:c r="L212" s="8" t="str">
        <x:v>https://github.com/Sparkling-Flames/3D_Manhattan_label/blob/844a4694627e1eacc6bfb48911897335e48ecc17/data/mp3d_layout/test/img/b8cTxDM8gDG_ddc9afa8e031453abd45c783fbfeb4aa.png</x:v>
      </x:c>
      <x:c r="M212" s="8" t="str">
        <x:v>b8cTxDM8gDG_ddc9afa8e031453abd45c783fbfeb4aa</x:v>
      </x:c>
    </x:row>
    <x:row r="213" ht="44" customHeight="1">
      <x:c r="A213" s="8" t="str">
        <x:v>b8cTxDM8gDG</x:v>
      </x:c>
      <x:c r="B213" s="8" t="n">
        <x:v>17</x:v>
      </x:c>
      <x:c r="C213" s="8" t="str">
        <x:v>卧室</x:v>
      </x:c>
      <x:c r="D213" s="8" t="str">
        <x:v>早期争议复核导出.user_type</x:v>
      </x:c>
      <x:c r="E213" s="8" t="str">
        <x:v>卧室</x:v>
      </x:c>
      <x:c r="F213" s="8" t="str">
        <x:v>卧室</x:v>
      </x:c>
      <x:c r="G213" s="8" t="n">
        <x:v>5</x:v>
      </x:c>
      <x:c r="H213" s="8" t="n">
        <x:v>4</x:v>
      </x:c>
      <x:c r="I213" s="8" t="n">
        <x:v>0</x:v>
      </x:c>
      <x:c r="J213" s="8" t="n">
        <x:v>15</x:v>
      </x:c>
      <x:c r="K213" s="8" t="str">
        <x:v>["G086"]</x:v>
      </x:c>
      <x:c r="L213" s="8" t="str">
        <x:v>https://github.com/Sparkling-Flames/3D_Manhattan_label/blob/844a4694627e1eacc6bfb48911897335e48ecc17/data/mp3d_layout/test/img/b8cTxDM8gDG_f339391e9479496e8652c972953f0ce4.png</x:v>
      </x:c>
      <x:c r="M213" s="8" t="str">
        <x:v>b8cTxDM8gDG_f339391e9479496e8652c972953f0ce4</x:v>
      </x:c>
    </x:row>
    <x:row r="214" ht="44" customHeight="1">
      <x:c r="A214" s="8" t="str">
        <x:v>b8cTxDM8gDG</x:v>
      </x:c>
      <x:c r="B214" s="8" t="n">
        <x:v>18</x:v>
      </x:c>
      <x:c r="C214" s="8" t="str">
        <x:v>卧室</x:v>
      </x:c>
      <x:c r="D214" s="8" t="str">
        <x:v>早期争议复核导出.user_type</x:v>
      </x:c>
      <x:c r="E214" s="8" t="str">
        <x:v>卧室</x:v>
      </x:c>
      <x:c r="F214" s="8" t="str">
        <x:v>卧室</x:v>
      </x:c>
      <x:c r="G214" s="8" t="n">
        <x:v>6</x:v>
      </x:c>
      <x:c r="H214" s="8" t="n">
        <x:v>4</x:v>
      </x:c>
      <x:c r="I214" s="8" t="n">
        <x:v>0</x:v>
      </x:c>
      <x:c r="J214" s="8" t="n">
        <x:v>15</x:v>
      </x:c>
      <x:c r="K214" s="8" t="str">
        <x:v>["G088"]</x:v>
      </x:c>
      <x:c r="L214" s="8" t="str">
        <x:v>https://github.com/Sparkling-Flames/3D_Manhattan_label/blob/844a4694627e1eacc6bfb48911897335e48ecc17/data/mp3d_layout/test/img/b8cTxDM8gDG_f3748786c3704532abb2358581488f3f.png</x:v>
      </x:c>
      <x:c r="M214" s="8" t="str">
        <x:v>b8cTxDM8gDG_f3748786c3704532abb2358581488f3f</x:v>
      </x:c>
    </x:row>
    <x:row r="215" ht="44" customHeight="1">
      <x:c r="A215" s="8" t="str">
        <x:v>b8cTxDM8gDG</x:v>
      </x:c>
      <x:c r="B215" s="8" t="n">
        <x:v>19</x:v>
      </x:c>
      <x:c r="C215" s="8" t="str">
        <x:v>待拆解(null)</x:v>
      </x:c>
      <x:c r="D215" s="8" t="str">
        <x:v>早期争议复核导出.user_type</x:v>
      </x:c>
      <x:c r="E215" s="8" t="str">
        <x:v>复合／待定</x:v>
      </x:c>
      <x:c r="F215" s="8" t="str">
        <x:v>开放复合空间</x:v>
      </x:c>
      <x:c r="G215" s="8" t="n">
        <x:v>25</x:v>
      </x:c>
      <x:c r="H215" s="8" t="n">
        <x:v>19</x:v>
      </x:c>
      <x:c r="I215" s="8" t="n">
        <x:v>0</x:v>
      </x:c>
      <x:c r="J215" s="8" t="n">
        <x:v>0</x:v>
      </x:c>
      <x:c r="K215" s="8" t="str">
        <x:v>["G084", "G087"]</x:v>
      </x:c>
      <x:c r="L215" s="8" t="str">
        <x:v>https://github.com/Sparkling-Flames/3D_Manhattan_label/blob/844a4694627e1eacc6bfb48911897335e48ecc17/data/mp3d_layout/test/img/b8cTxDM8gDG_f63819c407e64c2897b703080766cb60.png</x:v>
      </x:c>
      <x:c r="M215" s="8" t="str">
        <x:v>b8cTxDM8gDG_f63819c407e64c2897b703080766cb60</x:v>
      </x:c>
    </x:row>
    <x:row r="216" ht="44" customHeight="1">
      <x:c r="A216" s="8" t="str">
        <x:v>e9zR4mvMWw7</x:v>
      </x:c>
      <x:c r="B216" s="8" t="n">
        <x:v>1</x:v>
      </x:c>
      <x:c r="C216" s="8" t="str">
        <x:v>特殊用途</x:v>
      </x:c>
      <x:c r="D216" s="8" t="str">
        <x:v>早期争议复核导出.user_type</x:v>
      </x:c>
      <x:c r="E216" s="8" t="str">
        <x:v>特殊用途（暂不合并分析）</x:v>
      </x:c>
      <x:c r="F216" s="8" t="str">
        <x:v>特殊用途</x:v>
      </x:c>
      <x:c r="G216" s="8" t="n">
        <x:v>0</x:v>
      </x:c>
      <x:c r="H216" s="8" t="n">
        <x:v>0</x:v>
      </x:c>
      <x:c r="I216" s="8" t="n">
        <x:v>0</x:v>
      </x:c>
      <x:c r="J216" s="8" t="n">
        <x:v>19</x:v>
      </x:c>
      <x:c r="K216" s="8" t="str">
        <x:v>[]</x:v>
      </x:c>
      <x:c r="L216" s="8" t="str">
        <x:v>https://github.com/Sparkling-Flames/3D_Manhattan_label/blob/844a4694627e1eacc6bfb48911897335e48ecc17/data/mp3d_layout/test/img/e9zR4mvMWw7_0977162f6d4e47f7b3764379ba68d8db.png</x:v>
      </x:c>
      <x:c r="M216" s="8" t="str">
        <x:v>e9zR4mvMWw7_0977162f6d4e47f7b3764379ba68d8db</x:v>
      </x:c>
    </x:row>
    <x:row r="217" ht="44" customHeight="1">
      <x:c r="A217" s="8" t="str">
        <x:v>e9zR4mvMWw7</x:v>
      </x:c>
      <x:c r="B217" s="8" t="n">
        <x:v>2</x:v>
      </x:c>
      <x:c r="C217" s="8" t="str">
        <x:v>卧室</x:v>
      </x:c>
      <x:c r="D217" s="8" t="str">
        <x:v>早期争议复核导出.user_type</x:v>
      </x:c>
      <x:c r="E217" s="8" t="str">
        <x:v>卧室</x:v>
      </x:c>
      <x:c r="F217" s="8" t="str">
        <x:v>卧室</x:v>
      </x:c>
      <x:c r="G217" s="8" t="n">
        <x:v>6</x:v>
      </x:c>
      <x:c r="H217" s="8" t="n">
        <x:v>5</x:v>
      </x:c>
      <x:c r="I217" s="8" t="n">
        <x:v>0</x:v>
      </x:c>
      <x:c r="J217" s="8" t="n">
        <x:v>14</x:v>
      </x:c>
      <x:c r="K217" s="8" t="str">
        <x:v>["G089"]</x:v>
      </x:c>
      <x:c r="L217" s="8" t="str">
        <x:v>https://github.com/Sparkling-Flames/3D_Manhattan_label/blob/844a4694627e1eacc6bfb48911897335e48ecc17/data/mp3d_layout/test/img/e9zR4mvMWw7_0ee61863ec0c4c06bac95fb886e98945.png</x:v>
      </x:c>
      <x:c r="M217" s="8" t="str">
        <x:v>e9zR4mvMWw7_0ee61863ec0c4c06bac95fb886e98945</x:v>
      </x:c>
    </x:row>
    <x:row r="218" ht="44" customHeight="1">
      <x:c r="A218" s="8" t="str">
        <x:v>e9zR4mvMWw7</x:v>
      </x:c>
      <x:c r="B218" s="8" t="n">
        <x:v>3</x:v>
      </x:c>
      <x:c r="C218" s="8" t="str">
        <x:v>卧室</x:v>
      </x:c>
      <x:c r="D218" s="8" t="str">
        <x:v>早期争议复核导出.user_type</x:v>
      </x:c>
      <x:c r="E218" s="8" t="str">
        <x:v>卧室</x:v>
      </x:c>
      <x:c r="F218" s="8" t="str">
        <x:v>卧室</x:v>
      </x:c>
      <x:c r="G218" s="8" t="n">
        <x:v>0</x:v>
      </x:c>
      <x:c r="H218" s="8" t="n">
        <x:v>0</x:v>
      </x:c>
      <x:c r="I218" s="8" t="n">
        <x:v>26</x:v>
      </x:c>
      <x:c r="J218" s="8" t="n">
        <x:v>0</x:v>
      </x:c>
      <x:c r="K218" s="8" t="str">
        <x:v>["G090"]</x:v>
      </x:c>
      <x:c r="L218" s="8" t="str">
        <x:v>https://github.com/Sparkling-Flames/3D_Manhattan_label/blob/844a4694627e1eacc6bfb48911897335e48ecc17/data/mp3d_layout/test/img/e9zR4mvMWw7_12c84e77f6564013a032220e8f9037e8.png</x:v>
      </x:c>
      <x:c r="M218" s="8" t="str">
        <x:v>e9zR4mvMWw7_12c84e77f6564013a032220e8f9037e8</x:v>
      </x:c>
    </x:row>
    <x:row r="219" ht="44" customHeight="1">
      <x:c r="A219" s="8" t="str">
        <x:v>e9zR4mvMWw7</x:v>
      </x:c>
      <x:c r="B219" s="8" t="n">
        <x:v>4</x:v>
      </x:c>
      <x:c r="C219" s="8" t="str">
        <x:v>通行与连接</x:v>
      </x:c>
      <x:c r="D219" s="8" t="str">
        <x:v>早期争议复核导出.user_type</x:v>
      </x:c>
      <x:c r="E219" s="8" t="str">
        <x:v>通行与连接</x:v>
      </x:c>
      <x:c r="F219" s="8" t="str">
        <x:v>通行与连接</x:v>
      </x:c>
      <x:c r="G219" s="8" t="n">
        <x:v>0</x:v>
      </x:c>
      <x:c r="H219" s="8" t="n">
        <x:v>0</x:v>
      </x:c>
      <x:c r="I219" s="8" t="n">
        <x:v>0</x:v>
      </x:c>
      <x:c r="J219" s="8" t="n">
        <x:v>19</x:v>
      </x:c>
      <x:c r="K219" s="8" t="str">
        <x:v>["G091"]</x:v>
      </x:c>
      <x:c r="L219" s="8" t="str">
        <x:v>https://github.com/Sparkling-Flames/3D_Manhattan_label/blob/844a4694627e1eacc6bfb48911897335e48ecc17/data/mp3d_layout/test/img/e9zR4mvMWw7_16eb46a968384060821cb59d0e04f4dd.png</x:v>
      </x:c>
      <x:c r="M219" s="8" t="str">
        <x:v>e9zR4mvMWw7_16eb46a968384060821cb59d0e04f4dd</x:v>
      </x:c>
    </x:row>
    <x:row r="220" ht="44" customHeight="1">
      <x:c r="A220" s="8" t="str">
        <x:v>e9zR4mvMWw7</x:v>
      </x:c>
      <x:c r="B220" s="8" t="n">
        <x:v>5</x:v>
      </x:c>
      <x:c r="C220" s="8" t="str">
        <x:v>卧室</x:v>
      </x:c>
      <x:c r="D220" s="8" t="str">
        <x:v>早期争议复核导出.user_type</x:v>
      </x:c>
      <x:c r="E220" s="8" t="str">
        <x:v>卧室</x:v>
      </x:c>
      <x:c r="F220" s="8" t="str">
        <x:v>卧室</x:v>
      </x:c>
      <x:c r="G220" s="8" t="n">
        <x:v>0</x:v>
      </x:c>
      <x:c r="H220" s="8" t="n">
        <x:v>0</x:v>
      </x:c>
      <x:c r="I220" s="8" t="n">
        <x:v>0</x:v>
      </x:c>
      <x:c r="J220" s="8" t="n">
        <x:v>19</x:v>
      </x:c>
      <x:c r="K220" s="8" t="str">
        <x:v>[]</x:v>
      </x:c>
      <x:c r="L220" s="8" t="str">
        <x:v>https://github.com/Sparkling-Flames/3D_Manhattan_label/blob/844a4694627e1eacc6bfb48911897335e48ecc17/data/mp3d_layout/test/img/e9zR4mvMWw7_184edf3d3a4d482dae288e4811945331.png</x:v>
      </x:c>
      <x:c r="M220" s="8" t="str">
        <x:v>e9zR4mvMWw7_184edf3d3a4d482dae288e4811945331</x:v>
      </x:c>
    </x:row>
    <x:row r="221" ht="44" customHeight="1">
      <x:c r="A221" s="8" t="str">
        <x:v>e9zR4mvMWw7</x:v>
      </x:c>
      <x:c r="B221" s="8" t="n">
        <x:v>6</x:v>
      </x:c>
      <x:c r="C221" s="8" t="str">
        <x:v>厨房与用餐</x:v>
      </x:c>
      <x:c r="D221" s="8" t="str">
        <x:v>早期争议复核导出.user_type</x:v>
      </x:c>
      <x:c r="E221" s="8" t="str">
        <x:v>厨房与用餐</x:v>
      </x:c>
      <x:c r="F221" s="8" t="str">
        <x:v>开放复合空间</x:v>
      </x:c>
      <x:c r="G221" s="8" t="n">
        <x:v>0</x:v>
      </x:c>
      <x:c r="H221" s="8" t="n">
        <x:v>0</x:v>
      </x:c>
      <x:c r="I221" s="8" t="n">
        <x:v>0</x:v>
      </x:c>
      <x:c r="J221" s="8" t="n">
        <x:v>19</x:v>
      </x:c>
      <x:c r="K221" s="8" t="str">
        <x:v>["G092", "G093"]</x:v>
      </x:c>
      <x:c r="L221" s="8" t="str">
        <x:v>https://github.com/Sparkling-Flames/3D_Manhattan_label/blob/844a4694627e1eacc6bfb48911897335e48ecc17/data/mp3d_layout/test/img/e9zR4mvMWw7_18653fa3d6ba4f82889237201ee07d11.png</x:v>
      </x:c>
      <x:c r="M221" s="8" t="str">
        <x:v>e9zR4mvMWw7_18653fa3d6ba4f82889237201ee07d11</x:v>
      </x:c>
    </x:row>
    <x:row r="222" ht="44" customHeight="1">
      <x:c r="A222" s="8" t="str">
        <x:v>e9zR4mvMWw7</x:v>
      </x:c>
      <x:c r="B222" s="8" t="n">
        <x:v>7</x:v>
      </x:c>
      <x:c r="C222" s="8" t="str">
        <x:v>卧室</x:v>
      </x:c>
      <x:c r="D222" s="8" t="str">
        <x:v>早期争议复核导出.user_type</x:v>
      </x:c>
      <x:c r="E222" s="8" t="str">
        <x:v>卧室</x:v>
      </x:c>
      <x:c r="F222" s="8" t="str">
        <x:v>卧室</x:v>
      </x:c>
      <x:c r="G222" s="8" t="n">
        <x:v>0</x:v>
      </x:c>
      <x:c r="H222" s="8" t="n">
        <x:v>0</x:v>
      </x:c>
      <x:c r="I222" s="8" t="n">
        <x:v>0</x:v>
      </x:c>
      <x:c r="J222" s="8" t="n">
        <x:v>19</x:v>
      </x:c>
      <x:c r="K222" s="8" t="str">
        <x:v>["G090"]</x:v>
      </x:c>
      <x:c r="L222" s="8" t="str">
        <x:v>https://github.com/Sparkling-Flames/3D_Manhattan_label/blob/844a4694627e1eacc6bfb48911897335e48ecc17/data/mp3d_layout/test/img/e9zR4mvMWw7_192fb2a16486430a96b34dffc2e8cbbc.png</x:v>
      </x:c>
      <x:c r="M222" s="8" t="str">
        <x:v>e9zR4mvMWw7_192fb2a16486430a96b34dffc2e8cbbc</x:v>
      </x:c>
    </x:row>
    <x:row r="223" ht="44" customHeight="1">
      <x:c r="A223" s="8" t="str">
        <x:v>e9zR4mvMWw7</x:v>
      </x:c>
      <x:c r="B223" s="8" t="n">
        <x:v>8</x:v>
      </x:c>
      <x:c r="C223" s="8" t="str">
        <x:v>卧室</x:v>
      </x:c>
      <x:c r="D223" s="8" t="str">
        <x:v>早期争议复核导出.user_type</x:v>
      </x:c>
      <x:c r="E223" s="8" t="str">
        <x:v>卧室</x:v>
      </x:c>
      <x:c r="F223" s="8" t="str">
        <x:v>卧室</x:v>
      </x:c>
      <x:c r="G223" s="8" t="n">
        <x:v>0</x:v>
      </x:c>
      <x:c r="H223" s="8" t="n">
        <x:v>0</x:v>
      </x:c>
      <x:c r="I223" s="8" t="n">
        <x:v>0</x:v>
      </x:c>
      <x:c r="J223" s="8" t="n">
        <x:v>19</x:v>
      </x:c>
      <x:c r="K223" s="8" t="str">
        <x:v>["G090"]</x:v>
      </x:c>
      <x:c r="L223" s="8" t="str">
        <x:v>https://github.com/Sparkling-Flames/3D_Manhattan_label/blob/844a4694627e1eacc6bfb48911897335e48ecc17/data/mp3d_layout/test/img/e9zR4mvMWw7_1cbe7276fcee411c8695f5f11ac45eb5.png</x:v>
      </x:c>
      <x:c r="M223" s="8" t="str">
        <x:v>e9zR4mvMWw7_1cbe7276fcee411c8695f5f11ac45eb5</x:v>
      </x:c>
    </x:row>
    <x:row r="224" ht="44" customHeight="1">
      <x:c r="A224" s="8" t="str">
        <x:v>e9zR4mvMWw7</x:v>
      </x:c>
      <x:c r="B224" s="8" t="n">
        <x:v>9</x:v>
      </x:c>
      <x:c r="C224" s="8" t="str">
        <x:v>厨房与用餐</x:v>
      </x:c>
      <x:c r="D224" s="8" t="str">
        <x:v>早期争议复核导出.user_type</x:v>
      </x:c>
      <x:c r="E224" s="8" t="str">
        <x:v>厨房与用餐</x:v>
      </x:c>
      <x:c r="F224" s="8" t="str">
        <x:v>开放复合空间</x:v>
      </x:c>
      <x:c r="G224" s="8" t="n">
        <x:v>6</x:v>
      </x:c>
      <x:c r="H224" s="8" t="n">
        <x:v>4</x:v>
      </x:c>
      <x:c r="I224" s="8" t="n">
        <x:v>0</x:v>
      </x:c>
      <x:c r="J224" s="8" t="n">
        <x:v>15</x:v>
      </x:c>
      <x:c r="K224" s="8" t="str">
        <x:v>["G092"]</x:v>
      </x:c>
      <x:c r="L224" s="8" t="str">
        <x:v>https://github.com/Sparkling-Flames/3D_Manhattan_label/blob/844a4694627e1eacc6bfb48911897335e48ecc17/data/mp3d_layout/test/img/e9zR4mvMWw7_1d316dfbe35f41dd9203eaf88be5aae8.png</x:v>
      </x:c>
      <x:c r="M224" s="8" t="str">
        <x:v>e9zR4mvMWw7_1d316dfbe35f41dd9203eaf88be5aae8</x:v>
      </x:c>
    </x:row>
    <x:row r="225" ht="44" customHeight="1">
      <x:c r="A225" s="8" t="str">
        <x:v>e9zR4mvMWw7</x:v>
      </x:c>
      <x:c r="B225" s="8" t="n">
        <x:v>10</x:v>
      </x:c>
      <x:c r="C225" s="8" t="str">
        <x:v>卧室</x:v>
      </x:c>
      <x:c r="D225" s="8" t="str">
        <x:v>早期争议复核导出.user_type</x:v>
      </x:c>
      <x:c r="E225" s="8" t="str">
        <x:v>卧室</x:v>
      </x:c>
      <x:c r="F225" s="8" t="str">
        <x:v>卧室</x:v>
      </x:c>
      <x:c r="G225" s="8" t="n">
        <x:v>0</x:v>
      </x:c>
      <x:c r="H225" s="8" t="n">
        <x:v>0</x:v>
      </x:c>
      <x:c r="I225" s="8" t="n">
        <x:v>26</x:v>
      </x:c>
      <x:c r="J225" s="8" t="n">
        <x:v>0</x:v>
      </x:c>
      <x:c r="K225" s="8" t="str">
        <x:v>["G094"]</x:v>
      </x:c>
      <x:c r="L225" s="8" t="str">
        <x:v>https://github.com/Sparkling-Flames/3D_Manhattan_label/blob/844a4694627e1eacc6bfb48911897335e48ecc17/data/mp3d_layout/test/img/e9zR4mvMWw7_1daae4b7becc43949516096170ce2a76.png</x:v>
      </x:c>
      <x:c r="M225" s="8" t="str">
        <x:v>e9zR4mvMWw7_1daae4b7becc43949516096170ce2a76</x:v>
      </x:c>
    </x:row>
    <x:row r="226" ht="44" customHeight="1">
      <x:c r="A226" s="8" t="str">
        <x:v>e9zR4mvMWw7</x:v>
      </x:c>
      <x:c r="B226" s="8" t="n">
        <x:v>11</x:v>
      </x:c>
      <x:c r="C226" s="8" t="str">
        <x:v>待拆解(null)</x:v>
      </x:c>
      <x:c r="D226" s="8" t="str">
        <x:v>早期争议复核导出.user_type</x:v>
      </x:c>
      <x:c r="E226" s="8" t="str">
        <x:v>复合／待定</x:v>
      </x:c>
      <x:c r="F226" s="8" t="str">
        <x:v>卧室</x:v>
      </x:c>
      <x:c r="G226" s="8" t="n">
        <x:v>0</x:v>
      </x:c>
      <x:c r="H226" s="8" t="n">
        <x:v>0</x:v>
      </x:c>
      <x:c r="I226" s="8" t="n">
        <x:v>0</x:v>
      </x:c>
      <x:c r="J226" s="8" t="n">
        <x:v>19</x:v>
      </x:c>
      <x:c r="K226" s="8" t="str">
        <x:v>["G090"]</x:v>
      </x:c>
      <x:c r="L226" s="8" t="str">
        <x:v>https://github.com/Sparkling-Flames/3D_Manhattan_label/blob/844a4694627e1eacc6bfb48911897335e48ecc17/data/mp3d_layout/test/img/e9zR4mvMWw7_1f8ee74dbb254dff85771776279eae94.png</x:v>
      </x:c>
      <x:c r="M226" s="8" t="str">
        <x:v>e9zR4mvMWw7_1f8ee74dbb254dff85771776279eae94</x:v>
      </x:c>
    </x:row>
    <x:row r="227" ht="44" customHeight="1">
      <x:c r="A227" s="8" t="str">
        <x:v>e9zR4mvMWw7</x:v>
      </x:c>
      <x:c r="B227" s="8" t="n">
        <x:v>12</x:v>
      </x:c>
      <x:c r="C227" s="8" t="str">
        <x:v>通行与连接</x:v>
      </x:c>
      <x:c r="D227" s="8" t="str">
        <x:v>早期争议复核导出.user_type</x:v>
      </x:c>
      <x:c r="E227" s="8" t="str">
        <x:v>通行与连接</x:v>
      </x:c>
      <x:c r="F227" s="8" t="str">
        <x:v>通行与连接</x:v>
      </x:c>
      <x:c r="G227" s="8" t="n">
        <x:v>0</x:v>
      </x:c>
      <x:c r="H227" s="8" t="n">
        <x:v>0</x:v>
      </x:c>
      <x:c r="I227" s="8" t="n">
        <x:v>0</x:v>
      </x:c>
      <x:c r="J227" s="8" t="n">
        <x:v>19</x:v>
      </x:c>
      <x:c r="K227" s="8" t="str">
        <x:v>["G095"]</x:v>
      </x:c>
      <x:c r="L227" s="8" t="str">
        <x:v>https://github.com/Sparkling-Flames/3D_Manhattan_label/blob/844a4694627e1eacc6bfb48911897335e48ecc17/data/mp3d_layout/test/img/e9zR4mvMWw7_1ff35596f9cb4b98ba4f08dda81c1654.png</x:v>
      </x:c>
      <x:c r="M227" s="8" t="str">
        <x:v>e9zR4mvMWw7_1ff35596f9cb4b98ba4f08dda81c1654</x:v>
      </x:c>
    </x:row>
    <x:row r="228" ht="44" customHeight="1">
      <x:c r="A228" s="8" t="str">
        <x:v>e9zR4mvMWw7</x:v>
      </x:c>
      <x:c r="B228" s="8" t="n">
        <x:v>13</x:v>
      </x:c>
      <x:c r="C228" s="8" t="str">
        <x:v>厨房与用餐</x:v>
      </x:c>
      <x:c r="D228" s="8" t="str">
        <x:v>早期争议复核导出.user_type</x:v>
      </x:c>
      <x:c r="E228" s="8" t="str">
        <x:v>厨房与用餐</x:v>
      </x:c>
      <x:c r="F228" s="8" t="str"/>
      <x:c r="G228" s="8" t="n">
        <x:v>0</x:v>
      </x:c>
      <x:c r="H228" s="8" t="n">
        <x:v>0</x:v>
      </x:c>
      <x:c r="I228" s="8" t="n">
        <x:v>0</x:v>
      </x:c>
      <x:c r="J228" s="8" t="n">
        <x:v>19</x:v>
      </x:c>
      <x:c r="K228" s="8" t="str">
        <x:v>["G096"]</x:v>
      </x:c>
      <x:c r="L228" s="8" t="str">
        <x:v>https://github.com/Sparkling-Flames/3D_Manhattan_label/blob/844a4694627e1eacc6bfb48911897335e48ecc17/data/mp3d_layout/test/img/e9zR4mvMWw7_2224be23a70a475ea6daa55d4c90a91b.png</x:v>
      </x:c>
      <x:c r="M228" s="8" t="str">
        <x:v>e9zR4mvMWw7_2224be23a70a475ea6daa55d4c90a91b</x:v>
      </x:c>
    </x:row>
    <x:row r="229" ht="44" customHeight="1">
      <x:c r="A229" s="8" t="str">
        <x:v>e9zR4mvMWw7</x:v>
      </x:c>
      <x:c r="B229" s="8" t="n">
        <x:v>14</x:v>
      </x:c>
      <x:c r="C229" s="8" t="str">
        <x:v>卫浴</x:v>
      </x:c>
      <x:c r="D229" s="8" t="str">
        <x:v>早期争议复核导出.user_type</x:v>
      </x:c>
      <x:c r="E229" s="8" t="str">
        <x:v>卫浴</x:v>
      </x:c>
      <x:c r="F229" s="8" t="str">
        <x:v>卫浴</x:v>
      </x:c>
      <x:c r="G229" s="8" t="n">
        <x:v>0</x:v>
      </x:c>
      <x:c r="H229" s="8" t="n">
        <x:v>0</x:v>
      </x:c>
      <x:c r="I229" s="8" t="n">
        <x:v>0</x:v>
      </x:c>
      <x:c r="J229" s="8" t="n">
        <x:v>19</x:v>
      </x:c>
      <x:c r="K229" s="8" t="str">
        <x:v>["G097"]</x:v>
      </x:c>
      <x:c r="L229" s="8" t="str">
        <x:v>https://github.com/Sparkling-Flames/3D_Manhattan_label/blob/844a4694627e1eacc6bfb48911897335e48ecc17/data/mp3d_layout/test/img/e9zR4mvMWw7_2594cedd9da64c338c1ba98abed9efb3.png</x:v>
      </x:c>
      <x:c r="M229" s="8" t="str">
        <x:v>e9zR4mvMWw7_2594cedd9da64c338c1ba98abed9efb3</x:v>
      </x:c>
    </x:row>
    <x:row r="230" ht="44" customHeight="1">
      <x:c r="A230" s="8" t="str">
        <x:v>e9zR4mvMWw7</x:v>
      </x:c>
      <x:c r="B230" s="8" t="n">
        <x:v>15</x:v>
      </x:c>
      <x:c r="C230" s="8" t="str">
        <x:v>卧室</x:v>
      </x:c>
      <x:c r="D230" s="8" t="str">
        <x:v>早期争议复核导出.user_type</x:v>
      </x:c>
      <x:c r="E230" s="8" t="str">
        <x:v>卧室</x:v>
      </x:c>
      <x:c r="F230" s="8" t="str">
        <x:v>卧室</x:v>
      </x:c>
      <x:c r="G230" s="8" t="n">
        <x:v>0</x:v>
      </x:c>
      <x:c r="H230" s="8" t="n">
        <x:v>0</x:v>
      </x:c>
      <x:c r="I230" s="8" t="n">
        <x:v>0</x:v>
      </x:c>
      <x:c r="J230" s="8" t="n">
        <x:v>19</x:v>
      </x:c>
      <x:c r="K230" s="8" t="str">
        <x:v>["G090"]</x:v>
      </x:c>
      <x:c r="L230" s="8" t="str">
        <x:v>https://github.com/Sparkling-Flames/3D_Manhattan_label/blob/844a4694627e1eacc6bfb48911897335e48ecc17/data/mp3d_layout/test/img/e9zR4mvMWw7_2e52341d21b940b5b38a9e26c4cf4200.png</x:v>
      </x:c>
      <x:c r="M230" s="8" t="str">
        <x:v>e9zR4mvMWw7_2e52341d21b940b5b38a9e26c4cf4200</x:v>
      </x:c>
    </x:row>
    <x:row r="231" ht="44" customHeight="1">
      <x:c r="A231" s="8" t="str">
        <x:v>e9zR4mvMWw7</x:v>
      </x:c>
      <x:c r="B231" s="8" t="n">
        <x:v>16</x:v>
      </x:c>
      <x:c r="C231" s="8" t="str">
        <x:v>起居与休闲</x:v>
      </x:c>
      <x:c r="D231" s="8" t="str">
        <x:v>早期争议复核导出.user_type</x:v>
      </x:c>
      <x:c r="E231" s="8" t="str">
        <x:v>起居与休闲</x:v>
      </x:c>
      <x:c r="F231" s="8" t="str">
        <x:v>起居与休闲</x:v>
      </x:c>
      <x:c r="G231" s="8" t="n">
        <x:v>0</x:v>
      </x:c>
      <x:c r="H231" s="8" t="n">
        <x:v>0</x:v>
      </x:c>
      <x:c r="I231" s="8" t="n">
        <x:v>26</x:v>
      </x:c>
      <x:c r="J231" s="8" t="n">
        <x:v>0</x:v>
      </x:c>
      <x:c r="K231" s="8" t="str">
        <x:v>["G098"]</x:v>
      </x:c>
      <x:c r="L231" s="8" t="str">
        <x:v>https://github.com/Sparkling-Flames/3D_Manhattan_label/blob/844a4694627e1eacc6bfb48911897335e48ecc17/data/mp3d_layout/test/img/e9zR4mvMWw7_409f2a738bf54153b9b77c39e7a4ea45.png</x:v>
      </x:c>
      <x:c r="M231" s="8" t="str">
        <x:v>e9zR4mvMWw7_409f2a738bf54153b9b77c39e7a4ea45</x:v>
      </x:c>
    </x:row>
    <x:row r="232" ht="44" customHeight="1">
      <x:c r="A232" s="8" t="str">
        <x:v>e9zR4mvMWw7</x:v>
      </x:c>
      <x:c r="B232" s="8" t="n">
        <x:v>17</x:v>
      </x:c>
      <x:c r="C232" s="8" t="str">
        <x:v>起居与休闲</x:v>
      </x:c>
      <x:c r="D232" s="8" t="str">
        <x:v>早期争议复核导出.user_type</x:v>
      </x:c>
      <x:c r="E232" s="8" t="str">
        <x:v>起居与休闲</x:v>
      </x:c>
      <x:c r="F232" s="8" t="str">
        <x:v>起居与休闲</x:v>
      </x:c>
      <x:c r="G232" s="8" t="n">
        <x:v>6</x:v>
      </x:c>
      <x:c r="H232" s="8" t="n">
        <x:v>5</x:v>
      </x:c>
      <x:c r="I232" s="8" t="n">
        <x:v>0</x:v>
      </x:c>
      <x:c r="J232" s="8" t="n">
        <x:v>14</x:v>
      </x:c>
      <x:c r="K232" s="8" t="str">
        <x:v>["G098"]</x:v>
      </x:c>
      <x:c r="L232" s="8" t="str">
        <x:v>https://github.com/Sparkling-Flames/3D_Manhattan_label/blob/844a4694627e1eacc6bfb48911897335e48ecc17/data/mp3d_layout/test/img/e9zR4mvMWw7_4273c4dd97974531b5256f96204fee47.png</x:v>
      </x:c>
      <x:c r="M232" s="8" t="str">
        <x:v>e9zR4mvMWw7_4273c4dd97974531b5256f96204fee47</x:v>
      </x:c>
    </x:row>
    <x:row r="233" ht="44" customHeight="1">
      <x:c r="A233" s="8" t="str">
        <x:v>e9zR4mvMWw7</x:v>
      </x:c>
      <x:c r="B233" s="8" t="n">
        <x:v>18</x:v>
      </x:c>
      <x:c r="C233" s="8" t="str">
        <x:v>通行与连接</x:v>
      </x:c>
      <x:c r="D233" s="8" t="str">
        <x:v>早期争议复核导出.user_type</x:v>
      </x:c>
      <x:c r="E233" s="8" t="str">
        <x:v>通行与连接</x:v>
      </x:c>
      <x:c r="F233" s="8" t="str">
        <x:v>通行与连接</x:v>
      </x:c>
      <x:c r="G233" s="8" t="n">
        <x:v>0</x:v>
      </x:c>
      <x:c r="H233" s="8" t="n">
        <x:v>0</x:v>
      </x:c>
      <x:c r="I233" s="8" t="n">
        <x:v>0</x:v>
      </x:c>
      <x:c r="J233" s="8" t="n">
        <x:v>19</x:v>
      </x:c>
      <x:c r="K233" s="8" t="str">
        <x:v>["G091"]</x:v>
      </x:c>
      <x:c r="L233" s="8" t="str">
        <x:v>https://github.com/Sparkling-Flames/3D_Manhattan_label/blob/844a4694627e1eacc6bfb48911897335e48ecc17/data/mp3d_layout/test/img/e9zR4mvMWw7_4984fc9f1fdf4ff7887430f71b9ae392.png</x:v>
      </x:c>
      <x:c r="M233" s="8" t="str">
        <x:v>e9zR4mvMWw7_4984fc9f1fdf4ff7887430f71b9ae392</x:v>
      </x:c>
    </x:row>
    <x:row r="234" ht="44" customHeight="1">
      <x:c r="A234" s="8" t="str">
        <x:v>e9zR4mvMWw7</x:v>
      </x:c>
      <x:c r="B234" s="8" t="n">
        <x:v>19</x:v>
      </x:c>
      <x:c r="C234" s="8" t="str">
        <x:v>通行与连接</x:v>
      </x:c>
      <x:c r="D234" s="8" t="str">
        <x:v>早期争议复核导出.user_type</x:v>
      </x:c>
      <x:c r="E234" s="8" t="str">
        <x:v>通行与连接</x:v>
      </x:c>
      <x:c r="F234" s="8" t="str">
        <x:v>通行与连接</x:v>
      </x:c>
      <x:c r="G234" s="8" t="n">
        <x:v>25</x:v>
      </x:c>
      <x:c r="H234" s="8" t="n">
        <x:v>19</x:v>
      </x:c>
      <x:c r="I234" s="8" t="n">
        <x:v>0</x:v>
      </x:c>
      <x:c r="J234" s="8" t="n">
        <x:v>0</x:v>
      </x:c>
      <x:c r="K234" s="8" t="str">
        <x:v>["G095"]</x:v>
      </x:c>
      <x:c r="L234" s="8" t="str">
        <x:v>https://github.com/Sparkling-Flames/3D_Manhattan_label/blob/844a4694627e1eacc6bfb48911897335e48ecc17/data/mp3d_layout/test/img/e9zR4mvMWw7_4fb8c9be319e4784b4b66f9ca5d839ab.png</x:v>
      </x:c>
      <x:c r="M234" s="8" t="str">
        <x:v>e9zR4mvMWw7_4fb8c9be319e4784b4b66f9ca5d839ab</x:v>
      </x:c>
    </x:row>
    <x:row r="235" ht="44" customHeight="1">
      <x:c r="A235" s="8" t="str">
        <x:v>e9zR4mvMWw7</x:v>
      </x:c>
      <x:c r="B235" s="8" t="n">
        <x:v>20</x:v>
      </x:c>
      <x:c r="C235" s="8" t="str">
        <x:v>待拆解(null)</x:v>
      </x:c>
      <x:c r="D235" s="8" t="str">
        <x:v>早期争议复核导出.user_type</x:v>
      </x:c>
      <x:c r="E235" s="8" t="str">
        <x:v>复合／待定</x:v>
      </x:c>
      <x:c r="F235" s="8" t="str">
        <x:v>开放复合空间</x:v>
      </x:c>
      <x:c r="G235" s="8" t="n">
        <x:v>0</x:v>
      </x:c>
      <x:c r="H235" s="8" t="n">
        <x:v>0</x:v>
      </x:c>
      <x:c r="I235" s="8" t="n">
        <x:v>0</x:v>
      </x:c>
      <x:c r="J235" s="8" t="n">
        <x:v>19</x:v>
      </x:c>
      <x:c r="K235" s="8" t="str">
        <x:v>["G099"]</x:v>
      </x:c>
      <x:c r="L235" s="8" t="str">
        <x:v>https://github.com/Sparkling-Flames/3D_Manhattan_label/blob/844a4694627e1eacc6bfb48911897335e48ecc17/data/mp3d_layout/test/img/e9zR4mvMWw7_511976eee78f42e6858dcb7845a44777.png</x:v>
      </x:c>
      <x:c r="M235" s="8" t="str">
        <x:v>e9zR4mvMWw7_511976eee78f42e6858dcb7845a44777</x:v>
      </x:c>
    </x:row>
    <x:row r="236" ht="44" customHeight="1">
      <x:c r="A236" s="8" t="str">
        <x:v>e9zR4mvMWw7</x:v>
      </x:c>
      <x:c r="B236" s="8" t="n">
        <x:v>21</x:v>
      </x:c>
      <x:c r="C236" s="8" t="str">
        <x:v>通行与连接</x:v>
      </x:c>
      <x:c r="D236" s="8" t="str">
        <x:v>早期争议复核导出.user_type</x:v>
      </x:c>
      <x:c r="E236" s="8" t="str">
        <x:v>通行与连接</x:v>
      </x:c>
      <x:c r="F236" s="8" t="str">
        <x:v>通行与连接</x:v>
      </x:c>
      <x:c r="G236" s="8" t="n">
        <x:v>0</x:v>
      </x:c>
      <x:c r="H236" s="8" t="n">
        <x:v>0</x:v>
      </x:c>
      <x:c r="I236" s="8" t="n">
        <x:v>0</x:v>
      </x:c>
      <x:c r="J236" s="8" t="n">
        <x:v>19</x:v>
      </x:c>
      <x:c r="K236" s="8" t="str">
        <x:v>["G095"]</x:v>
      </x:c>
      <x:c r="L236" s="8" t="str">
        <x:v>https://github.com/Sparkling-Flames/3D_Manhattan_label/blob/844a4694627e1eacc6bfb48911897335e48ecc17/data/mp3d_layout/test/img/e9zR4mvMWw7_5a03fdefad7a46f4abaf1b2b924ec153.png</x:v>
      </x:c>
      <x:c r="M236" s="8" t="str">
        <x:v>e9zR4mvMWw7_5a03fdefad7a46f4abaf1b2b924ec153</x:v>
      </x:c>
    </x:row>
    <x:row r="237" ht="44" customHeight="1">
      <x:c r="A237" s="8" t="str">
        <x:v>e9zR4mvMWw7</x:v>
      </x:c>
      <x:c r="B237" s="8" t="n">
        <x:v>22</x:v>
      </x:c>
      <x:c r="C237" s="8" t="str">
        <x:v>通行与连接</x:v>
      </x:c>
      <x:c r="D237" s="8" t="str">
        <x:v>早期争议复核导出.user_type</x:v>
      </x:c>
      <x:c r="E237" s="8" t="str">
        <x:v>通行与连接</x:v>
      </x:c>
      <x:c r="F237" s="8" t="str">
        <x:v>通行与连接</x:v>
      </x:c>
      <x:c r="G237" s="8" t="n">
        <x:v>0</x:v>
      </x:c>
      <x:c r="H237" s="8" t="n">
        <x:v>0</x:v>
      </x:c>
      <x:c r="I237" s="8" t="n">
        <x:v>0</x:v>
      </x:c>
      <x:c r="J237" s="8" t="n">
        <x:v>19</x:v>
      </x:c>
      <x:c r="K237" s="8" t="str">
        <x:v>["G095"]</x:v>
      </x:c>
      <x:c r="L237" s="8" t="str">
        <x:v>https://github.com/Sparkling-Flames/3D_Manhattan_label/blob/844a4694627e1eacc6bfb48911897335e48ecc17/data/mp3d_layout/test/img/e9zR4mvMWw7_5d711de78dbd400aa4cfd51fc05dfbee.png</x:v>
      </x:c>
      <x:c r="M237" s="8" t="str">
        <x:v>e9zR4mvMWw7_5d711de78dbd400aa4cfd51fc05dfbee</x:v>
      </x:c>
    </x:row>
    <x:row r="238" ht="44" customHeight="1">
      <x:c r="A238" s="8" t="str">
        <x:v>e9zR4mvMWw7</x:v>
      </x:c>
      <x:c r="B238" s="8" t="n">
        <x:v>23</x:v>
      </x:c>
      <x:c r="C238" s="8" t="str">
        <x:v>卧室</x:v>
      </x:c>
      <x:c r="D238" s="8" t="str">
        <x:v>早期争议复核导出.user_type</x:v>
      </x:c>
      <x:c r="E238" s="8" t="str">
        <x:v>卧室</x:v>
      </x:c>
      <x:c r="F238" s="8" t="str"/>
      <x:c r="G238" s="8" t="n">
        <x:v>0</x:v>
      </x:c>
      <x:c r="H238" s="8" t="n">
        <x:v>0</x:v>
      </x:c>
      <x:c r="I238" s="8" t="n">
        <x:v>0</x:v>
      </x:c>
      <x:c r="J238" s="8" t="n">
        <x:v>19</x:v>
      </x:c>
      <x:c r="K238" s="8" t="str">
        <x:v>["G100"]</x:v>
      </x:c>
      <x:c r="L238" s="8" t="str">
        <x:v>https://github.com/Sparkling-Flames/3D_Manhattan_label/blob/844a4694627e1eacc6bfb48911897335e48ecc17/data/mp3d_layout/test/img/e9zR4mvMWw7_5f9b1db7cc1748c2a71d9924bd1f4fa3.png</x:v>
      </x:c>
      <x:c r="M238" s="8" t="str">
        <x:v>e9zR4mvMWw7_5f9b1db7cc1748c2a71d9924bd1f4fa3</x:v>
      </x:c>
    </x:row>
    <x:row r="239" ht="44" customHeight="1">
      <x:c r="A239" s="8" t="str">
        <x:v>e9zR4mvMWw7</x:v>
      </x:c>
      <x:c r="B239" s="8" t="n">
        <x:v>24</x:v>
      </x:c>
      <x:c r="C239" s="8" t="str">
        <x:v>厨房与用餐</x:v>
      </x:c>
      <x:c r="D239" s="8" t="str">
        <x:v>早期争议复核导出.user_type</x:v>
      </x:c>
      <x:c r="E239" s="8" t="str">
        <x:v>厨房与用餐</x:v>
      </x:c>
      <x:c r="F239" s="8" t="str">
        <x:v>开放复合空间</x:v>
      </x:c>
      <x:c r="G239" s="8" t="n">
        <x:v>0</x:v>
      </x:c>
      <x:c r="H239" s="8" t="n">
        <x:v>0</x:v>
      </x:c>
      <x:c r="I239" s="8" t="n">
        <x:v>0</x:v>
      </x:c>
      <x:c r="J239" s="8" t="n">
        <x:v>19</x:v>
      </x:c>
      <x:c r="K239" s="8" t="str">
        <x:v>["G096"]</x:v>
      </x:c>
      <x:c r="L239" s="8" t="str">
        <x:v>https://github.com/Sparkling-Flames/3D_Manhattan_label/blob/844a4694627e1eacc6bfb48911897335e48ecc17/data/mp3d_layout/test/img/e9zR4mvMWw7_6a856f5cb71645558f9f9ee069f37f1b.png</x:v>
      </x:c>
      <x:c r="M239" s="8" t="str">
        <x:v>e9zR4mvMWw7_6a856f5cb71645558f9f9ee069f37f1b</x:v>
      </x:c>
    </x:row>
    <x:row r="240" ht="44" customHeight="1">
      <x:c r="A240" s="8" t="str">
        <x:v>e9zR4mvMWw7</x:v>
      </x:c>
      <x:c r="B240" s="8" t="n">
        <x:v>25</x:v>
      </x:c>
      <x:c r="C240" s="8" t="str">
        <x:v>卫浴</x:v>
      </x:c>
      <x:c r="D240" s="8" t="str">
        <x:v>早期争议复核导出.user_type</x:v>
      </x:c>
      <x:c r="E240" s="8" t="str">
        <x:v>卫浴</x:v>
      </x:c>
      <x:c r="F240" s="8" t="str">
        <x:v>卫浴</x:v>
      </x:c>
      <x:c r="G240" s="8" t="n">
        <x:v>0</x:v>
      </x:c>
      <x:c r="H240" s="8" t="n">
        <x:v>0</x:v>
      </x:c>
      <x:c r="I240" s="8" t="n">
        <x:v>0</x:v>
      </x:c>
      <x:c r="J240" s="8" t="n">
        <x:v>19</x:v>
      </x:c>
      <x:c r="K240" s="8" t="str">
        <x:v>[]</x:v>
      </x:c>
      <x:c r="L240" s="8" t="str">
        <x:v>https://github.com/Sparkling-Flames/3D_Manhattan_label/blob/844a4694627e1eacc6bfb48911897335e48ecc17/data/mp3d_layout/test/img/e9zR4mvMWw7_75ea3fd50c1c4b8ba66dccc4247b8b81.png</x:v>
      </x:c>
      <x:c r="M240" s="8" t="str">
        <x:v>e9zR4mvMWw7_75ea3fd50c1c4b8ba66dccc4247b8b81</x:v>
      </x:c>
    </x:row>
    <x:row r="241" ht="44" customHeight="1">
      <x:c r="A241" s="8" t="str">
        <x:v>e9zR4mvMWw7</x:v>
      </x:c>
      <x:c r="B241" s="8" t="n">
        <x:v>26</x:v>
      </x:c>
      <x:c r="C241" s="8" t="str">
        <x:v>卧室</x:v>
      </x:c>
      <x:c r="D241" s="8" t="str">
        <x:v>早期争议复核导出.user_type</x:v>
      </x:c>
      <x:c r="E241" s="8" t="str">
        <x:v>卧室</x:v>
      </x:c>
      <x:c r="F241" s="8" t="str">
        <x:v>卧室</x:v>
      </x:c>
      <x:c r="G241" s="8" t="n">
        <x:v>0</x:v>
      </x:c>
      <x:c r="H241" s="8" t="n">
        <x:v>0</x:v>
      </x:c>
      <x:c r="I241" s="8" t="n">
        <x:v>0</x:v>
      </x:c>
      <x:c r="J241" s="8" t="n">
        <x:v>19</x:v>
      </x:c>
      <x:c r="K241" s="8" t="str">
        <x:v>["G090"]</x:v>
      </x:c>
      <x:c r="L241" s="8" t="str">
        <x:v>https://github.com/Sparkling-Flames/3D_Manhattan_label/blob/844a4694627e1eacc6bfb48911897335e48ecc17/data/mp3d_layout/test/img/e9zR4mvMWw7_83347153d2184d33869626c6c83318f9.png</x:v>
      </x:c>
      <x:c r="M241" s="8" t="str">
        <x:v>e9zR4mvMWw7_83347153d2184d33869626c6c83318f9</x:v>
      </x:c>
    </x:row>
    <x:row r="242" ht="44" customHeight="1">
      <x:c r="A242" s="8" t="str">
        <x:v>e9zR4mvMWw7</x:v>
      </x:c>
      <x:c r="B242" s="8" t="n">
        <x:v>27</x:v>
      </x:c>
      <x:c r="C242" s="8" t="str">
        <x:v>卧室</x:v>
      </x:c>
      <x:c r="D242" s="8" t="str">
        <x:v>早期争议复核导出.user_type</x:v>
      </x:c>
      <x:c r="E242" s="8" t="str">
        <x:v>卧室</x:v>
      </x:c>
      <x:c r="F242" s="8" t="str">
        <x:v>卧室</x:v>
      </x:c>
      <x:c r="G242" s="8" t="n">
        <x:v>0</x:v>
      </x:c>
      <x:c r="H242" s="8" t="n">
        <x:v>0</x:v>
      </x:c>
      <x:c r="I242" s="8" t="n">
        <x:v>0</x:v>
      </x:c>
      <x:c r="J242" s="8" t="n">
        <x:v>19</x:v>
      </x:c>
      <x:c r="K242" s="8" t="str">
        <x:v>["G094"]</x:v>
      </x:c>
      <x:c r="L242" s="8" t="str">
        <x:v>https://github.com/Sparkling-Flames/3D_Manhattan_label/blob/844a4694627e1eacc6bfb48911897335e48ecc17/data/mp3d_layout/test/img/e9zR4mvMWw7_8783add8825d4ecf8eb1f2af3c22b8df.png</x:v>
      </x:c>
      <x:c r="M242" s="8" t="str">
        <x:v>e9zR4mvMWw7_8783add8825d4ecf8eb1f2af3c22b8df</x:v>
      </x:c>
    </x:row>
    <x:row r="243" ht="44" customHeight="1">
      <x:c r="A243" s="8" t="str">
        <x:v>e9zR4mvMWw7</x:v>
      </x:c>
      <x:c r="B243" s="8" t="n">
        <x:v>28</x:v>
      </x:c>
      <x:c r="C243" s="8" t="str">
        <x:v>卧室</x:v>
      </x:c>
      <x:c r="D243" s="8" t="str">
        <x:v>早期争议复核导出.user_type</x:v>
      </x:c>
      <x:c r="E243" s="8" t="str">
        <x:v>卧室</x:v>
      </x:c>
      <x:c r="F243" s="8" t="str">
        <x:v>卧室</x:v>
      </x:c>
      <x:c r="G243" s="8" t="n">
        <x:v>0</x:v>
      </x:c>
      <x:c r="H243" s="8" t="n">
        <x:v>0</x:v>
      </x:c>
      <x:c r="I243" s="8" t="n">
        <x:v>0</x:v>
      </x:c>
      <x:c r="J243" s="8" t="n">
        <x:v>19</x:v>
      </x:c>
      <x:c r="K243" s="8" t="str">
        <x:v>["G090"]</x:v>
      </x:c>
      <x:c r="L243" s="8" t="str">
        <x:v>https://github.com/Sparkling-Flames/3D_Manhattan_label/blob/844a4694627e1eacc6bfb48911897335e48ecc17/data/mp3d_layout/test/img/e9zR4mvMWw7_891cb55a08dd4aea9ee76656f6b4850d.png</x:v>
      </x:c>
      <x:c r="M243" s="8" t="str">
        <x:v>e9zR4mvMWw7_891cb55a08dd4aea9ee76656f6b4850d</x:v>
      </x:c>
    </x:row>
    <x:row r="244" ht="44" customHeight="1">
      <x:c r="A244" s="8" t="str">
        <x:v>e9zR4mvMWw7</x:v>
      </x:c>
      <x:c r="B244" s="8" t="n">
        <x:v>29</x:v>
      </x:c>
      <x:c r="C244" s="8" t="str">
        <x:v>卫浴</x:v>
      </x:c>
      <x:c r="D244" s="8" t="str">
        <x:v>早期争议复核导出.user_type</x:v>
      </x:c>
      <x:c r="E244" s="8" t="str">
        <x:v>卫浴</x:v>
      </x:c>
      <x:c r="F244" s="8" t="str">
        <x:v>卫浴</x:v>
      </x:c>
      <x:c r="G244" s="8" t="n">
        <x:v>0</x:v>
      </x:c>
      <x:c r="H244" s="8" t="n">
        <x:v>0</x:v>
      </x:c>
      <x:c r="I244" s="8" t="n">
        <x:v>0</x:v>
      </x:c>
      <x:c r="J244" s="8" t="n">
        <x:v>19</x:v>
      </x:c>
      <x:c r="K244" s="8" t="str">
        <x:v>["G097"]</x:v>
      </x:c>
      <x:c r="L244" s="8" t="str">
        <x:v>https://github.com/Sparkling-Flames/3D_Manhattan_label/blob/844a4694627e1eacc6bfb48911897335e48ecc17/data/mp3d_layout/test/img/e9zR4mvMWw7_93c08bd7515647fdaa2ef1239d02983c.png</x:v>
      </x:c>
      <x:c r="M244" s="8" t="str">
        <x:v>e9zR4mvMWw7_93c08bd7515647fdaa2ef1239d02983c</x:v>
      </x:c>
    </x:row>
    <x:row r="245" ht="44" customHeight="1">
      <x:c r="A245" s="8" t="str">
        <x:v>e9zR4mvMWw7</x:v>
      </x:c>
      <x:c r="B245" s="8" t="n">
        <x:v>30</x:v>
      </x:c>
      <x:c r="C245" s="8" t="str">
        <x:v>特殊用途</x:v>
      </x:c>
      <x:c r="D245" s="8" t="str">
        <x:v>早期争议复核导出.user_type</x:v>
      </x:c>
      <x:c r="E245" s="8" t="str">
        <x:v>特殊用途（暂不合并分析）</x:v>
      </x:c>
      <x:c r="F245" s="8" t="str">
        <x:v>特殊用途</x:v>
      </x:c>
      <x:c r="G245" s="8" t="n">
        <x:v>0</x:v>
      </x:c>
      <x:c r="H245" s="8" t="n">
        <x:v>0</x:v>
      </x:c>
      <x:c r="I245" s="8" t="n">
        <x:v>0</x:v>
      </x:c>
      <x:c r="J245" s="8" t="n">
        <x:v>19</x:v>
      </x:c>
      <x:c r="K245" s="8" t="str">
        <x:v>[]</x:v>
      </x:c>
      <x:c r="L245" s="8" t="str">
        <x:v>https://github.com/Sparkling-Flames/3D_Manhattan_label/blob/844a4694627e1eacc6bfb48911897335e48ecc17/data/mp3d_layout/test/img/e9zR4mvMWw7_979426d6a1ea42e29cf5c3bd62eba342.png</x:v>
      </x:c>
      <x:c r="M245" s="8" t="str">
        <x:v>e9zR4mvMWw7_979426d6a1ea42e29cf5c3bd62eba342</x:v>
      </x:c>
    </x:row>
    <x:row r="246" ht="44" customHeight="1">
      <x:c r="A246" s="8" t="str">
        <x:v>e9zR4mvMWw7</x:v>
      </x:c>
      <x:c r="B246" s="8" t="n">
        <x:v>31</x:v>
      </x:c>
      <x:c r="C246" s="8" t="str">
        <x:v>卧室</x:v>
      </x:c>
      <x:c r="D246" s="8" t="str">
        <x:v>早期争议复核导出.user_type</x:v>
      </x:c>
      <x:c r="E246" s="8" t="str">
        <x:v>卧室</x:v>
      </x:c>
      <x:c r="F246" s="8" t="str">
        <x:v>卧室</x:v>
      </x:c>
      <x:c r="G246" s="8" t="n">
        <x:v>0</x:v>
      </x:c>
      <x:c r="H246" s="8" t="n">
        <x:v>0</x:v>
      </x:c>
      <x:c r="I246" s="8" t="n">
        <x:v>0</x:v>
      </x:c>
      <x:c r="J246" s="8" t="n">
        <x:v>19</x:v>
      </x:c>
      <x:c r="K246" s="8" t="str">
        <x:v>[]</x:v>
      </x:c>
      <x:c r="L246" s="8" t="str">
        <x:v>https://github.com/Sparkling-Flames/3D_Manhattan_label/blob/844a4694627e1eacc6bfb48911897335e48ecc17/data/mp3d_layout/test/img/e9zR4mvMWw7_a5b1928b6c1144bf8b7fda2317debf08.png</x:v>
      </x:c>
      <x:c r="M246" s="8" t="str">
        <x:v>e9zR4mvMWw7_a5b1928b6c1144bf8b7fda2317debf08</x:v>
      </x:c>
    </x:row>
    <x:row r="247" ht="44" customHeight="1">
      <x:c r="A247" s="8" t="str">
        <x:v>e9zR4mvMWw7</x:v>
      </x:c>
      <x:c r="B247" s="8" t="n">
        <x:v>32</x:v>
      </x:c>
      <x:c r="C247" s="8" t="str">
        <x:v>卧室</x:v>
      </x:c>
      <x:c r="D247" s="8" t="str">
        <x:v>早期争议复核导出.user_type</x:v>
      </x:c>
      <x:c r="E247" s="8" t="str">
        <x:v>卧室</x:v>
      </x:c>
      <x:c r="F247" s="8" t="str">
        <x:v>卧室</x:v>
      </x:c>
      <x:c r="G247" s="8" t="n">
        <x:v>0</x:v>
      </x:c>
      <x:c r="H247" s="8" t="n">
        <x:v>0</x:v>
      </x:c>
      <x:c r="I247" s="8" t="n">
        <x:v>26</x:v>
      </x:c>
      <x:c r="J247" s="8" t="n">
        <x:v>0</x:v>
      </x:c>
      <x:c r="K247" s="8" t="str">
        <x:v>["G089"]</x:v>
      </x:c>
      <x:c r="L247" s="8" t="str">
        <x:v>https://github.com/Sparkling-Flames/3D_Manhattan_label/blob/844a4694627e1eacc6bfb48911897335e48ecc17/data/mp3d_layout/test/img/e9zR4mvMWw7_ac03b99e3f3642be80b4d24fde0af03a.png</x:v>
      </x:c>
      <x:c r="M247" s="8" t="str">
        <x:v>e9zR4mvMWw7_ac03b99e3f3642be80b4d24fde0af03a</x:v>
      </x:c>
    </x:row>
    <x:row r="248" ht="44" customHeight="1">
      <x:c r="A248" s="8" t="str">
        <x:v>e9zR4mvMWw7</x:v>
      </x:c>
      <x:c r="B248" s="8" t="n">
        <x:v>33</x:v>
      </x:c>
      <x:c r="C248" s="8" t="str">
        <x:v>储藏与家务辅助</x:v>
      </x:c>
      <x:c r="D248" s="8" t="str">
        <x:v>后续41图亲审.current_classification.coarse_type</x:v>
      </x:c>
      <x:c r="E248" s="8" t="str">
        <x:v>卫浴</x:v>
      </x:c>
      <x:c r="F248" s="8" t="str">
        <x:v>储藏与家务辅助</x:v>
      </x:c>
      <x:c r="G248" s="8" t="n">
        <x:v>0</x:v>
      </x:c>
      <x:c r="H248" s="8" t="n">
        <x:v>0</x:v>
      </x:c>
      <x:c r="I248" s="8" t="n">
        <x:v>0</x:v>
      </x:c>
      <x:c r="J248" s="8" t="n">
        <x:v>19</x:v>
      </x:c>
      <x:c r="K248" s="8" t="str">
        <x:v>[]</x:v>
      </x:c>
      <x:c r="L248" s="8" t="str">
        <x:v>https://github.com/Sparkling-Flames/3D_Manhattan_label/blob/844a4694627e1eacc6bfb48911897335e48ecc17/data/mp3d_layout/test/img/e9zR4mvMWw7_b0a7188b1afc4f648bd497af5202d978.png</x:v>
      </x:c>
      <x:c r="M248" s="8" t="str">
        <x:v>e9zR4mvMWw7_b0a7188b1afc4f648bd497af5202d978</x:v>
      </x:c>
    </x:row>
    <x:row r="249" ht="44" customHeight="1">
      <x:c r="A249" s="8" t="str">
        <x:v>e9zR4mvMWw7</x:v>
      </x:c>
      <x:c r="B249" s="8" t="n">
        <x:v>34</x:v>
      </x:c>
      <x:c r="C249" s="8" t="str">
        <x:v>待拆解(null)</x:v>
      </x:c>
      <x:c r="D249" s="8" t="str">
        <x:v>早期争议复核导出.user_type</x:v>
      </x:c>
      <x:c r="E249" s="8" t="str">
        <x:v>复合／待定</x:v>
      </x:c>
      <x:c r="F249" s="8" t="str">
        <x:v>开放复合空间</x:v>
      </x:c>
      <x:c r="G249" s="8" t="n">
        <x:v>0</x:v>
      </x:c>
      <x:c r="H249" s="8" t="n">
        <x:v>0</x:v>
      </x:c>
      <x:c r="I249" s="8" t="n">
        <x:v>0</x:v>
      </x:c>
      <x:c r="J249" s="8" t="n">
        <x:v>19</x:v>
      </x:c>
      <x:c r="K249" s="8" t="str">
        <x:v>["G099"]</x:v>
      </x:c>
      <x:c r="L249" s="8" t="str">
        <x:v>https://github.com/Sparkling-Flames/3D_Manhattan_label/blob/844a4694627e1eacc6bfb48911897335e48ecc17/data/mp3d_layout/test/img/e9zR4mvMWw7_c904c55a5d0e420bbd6e4e030b9fe5b4.png</x:v>
      </x:c>
      <x:c r="M249" s="8" t="str">
        <x:v>e9zR4mvMWw7_c904c55a5d0e420bbd6e4e030b9fe5b4</x:v>
      </x:c>
    </x:row>
    <x:row r="250" ht="44" customHeight="1">
      <x:c r="A250" s="8" t="str">
        <x:v>e9zR4mvMWw7</x:v>
      </x:c>
      <x:c r="B250" s="8" t="n">
        <x:v>35</x:v>
      </x:c>
      <x:c r="C250" s="8" t="str">
        <x:v>通行与连接</x:v>
      </x:c>
      <x:c r="D250" s="8" t="str">
        <x:v>早期争议复核导出.user_type</x:v>
      </x:c>
      <x:c r="E250" s="8" t="str">
        <x:v>通行与连接</x:v>
      </x:c>
      <x:c r="F250" s="8" t="str">
        <x:v>通行与连接</x:v>
      </x:c>
      <x:c r="G250" s="8" t="n">
        <x:v>0</x:v>
      </x:c>
      <x:c r="H250" s="8" t="n">
        <x:v>0</x:v>
      </x:c>
      <x:c r="I250" s="8" t="n">
        <x:v>0</x:v>
      </x:c>
      <x:c r="J250" s="8" t="n">
        <x:v>19</x:v>
      </x:c>
      <x:c r="K250" s="8" t="str">
        <x:v>["G091"]</x:v>
      </x:c>
      <x:c r="L250" s="8" t="str">
        <x:v>https://github.com/Sparkling-Flames/3D_Manhattan_label/blob/844a4694627e1eacc6bfb48911897335e48ecc17/data/mp3d_layout/test/img/e9zR4mvMWw7_cd47116ee6264bc691811409bf779f34.png</x:v>
      </x:c>
      <x:c r="M250" s="8" t="str">
        <x:v>e9zR4mvMWw7_cd47116ee6264bc691811409bf779f34</x:v>
      </x:c>
    </x:row>
    <x:row r="251" ht="44" customHeight="1">
      <x:c r="A251" s="8" t="str">
        <x:v>e9zR4mvMWw7</x:v>
      </x:c>
      <x:c r="B251" s="8" t="n">
        <x:v>36</x:v>
      </x:c>
      <x:c r="C251" s="8" t="str">
        <x:v>卧室</x:v>
      </x:c>
      <x:c r="D251" s="8" t="str">
        <x:v>早期争议复核导出.user_type</x:v>
      </x:c>
      <x:c r="E251" s="8" t="str">
        <x:v>卧室</x:v>
      </x:c>
      <x:c r="F251" s="8" t="str">
        <x:v>卧室</x:v>
      </x:c>
      <x:c r="G251" s="8" t="n">
        <x:v>0</x:v>
      </x:c>
      <x:c r="H251" s="8" t="n">
        <x:v>0</x:v>
      </x:c>
      <x:c r="I251" s="8" t="n">
        <x:v>0</x:v>
      </x:c>
      <x:c r="J251" s="8" t="n">
        <x:v>19</x:v>
      </x:c>
      <x:c r="K251" s="8" t="str">
        <x:v>["G089"]</x:v>
      </x:c>
      <x:c r="L251" s="8" t="str">
        <x:v>https://github.com/Sparkling-Flames/3D_Manhattan_label/blob/844a4694627e1eacc6bfb48911897335e48ecc17/data/mp3d_layout/test/img/e9zR4mvMWw7_d88c41884dc24efbb5c1b7dcf97998e9.png</x:v>
      </x:c>
      <x:c r="M251" s="8" t="str">
        <x:v>e9zR4mvMWw7_d88c41884dc24efbb5c1b7dcf97998e9</x:v>
      </x:c>
    </x:row>
    <x:row r="252" ht="44" customHeight="1">
      <x:c r="A252" s="8" t="str">
        <x:v>e9zR4mvMWw7</x:v>
      </x:c>
      <x:c r="B252" s="8" t="n">
        <x:v>37</x:v>
      </x:c>
      <x:c r="C252" s="8" t="str">
        <x:v>起居与休闲</x:v>
      </x:c>
      <x:c r="D252" s="8" t="str">
        <x:v>早期争议复核导出.user_type</x:v>
      </x:c>
      <x:c r="E252" s="8" t="str">
        <x:v>起居与休闲</x:v>
      </x:c>
      <x:c r="F252" s="8" t="str">
        <x:v>开放复合空间</x:v>
      </x:c>
      <x:c r="G252" s="8" t="n">
        <x:v>0</x:v>
      </x:c>
      <x:c r="H252" s="8" t="n">
        <x:v>0</x:v>
      </x:c>
      <x:c r="I252" s="8" t="n">
        <x:v>0</x:v>
      </x:c>
      <x:c r="J252" s="8" t="n">
        <x:v>19</x:v>
      </x:c>
      <x:c r="K252" s="8" t="str">
        <x:v>["G093", "G099"]</x:v>
      </x:c>
      <x:c r="L252" s="8" t="str">
        <x:v>https://github.com/Sparkling-Flames/3D_Manhattan_label/blob/844a4694627e1eacc6bfb48911897335e48ecc17/data/mp3d_layout/test/img/e9zR4mvMWw7_f624a40d100144e696a39abe258ee090.png</x:v>
      </x:c>
      <x:c r="M252" s="8" t="str">
        <x:v>e9zR4mvMWw7_f624a40d100144e696a39abe258ee090</x:v>
      </x:c>
    </x:row>
    <x:row r="253" ht="44" customHeight="1">
      <x:c r="A253" s="8" t="str">
        <x:v>e9zR4mvMWw7</x:v>
      </x:c>
      <x:c r="B253" s="8" t="n">
        <x:v>38</x:v>
      </x:c>
      <x:c r="C253" s="8" t="str">
        <x:v>厨房与用餐</x:v>
      </x:c>
      <x:c r="D253" s="8" t="str">
        <x:v>早期争议复核导出.user_type</x:v>
      </x:c>
      <x:c r="E253" s="8" t="str">
        <x:v>厨房与用餐</x:v>
      </x:c>
      <x:c r="F253" s="8" t="str"/>
      <x:c r="G253" s="8" t="n">
        <x:v>0</x:v>
      </x:c>
      <x:c r="H253" s="8" t="n">
        <x:v>0</x:v>
      </x:c>
      <x:c r="I253" s="8" t="n">
        <x:v>0</x:v>
      </x:c>
      <x:c r="J253" s="8" t="n">
        <x:v>19</x:v>
      </x:c>
      <x:c r="K253" s="8" t="str">
        <x:v>["G096"]</x:v>
      </x:c>
      <x:c r="L253" s="8" t="str">
        <x:v>https://github.com/Sparkling-Flames/3D_Manhattan_label/blob/844a4694627e1eacc6bfb48911897335e48ecc17/data/mp3d_layout/test/img/e9zR4mvMWw7_f6c327acf9884d988714467217d67dcd.png</x:v>
      </x:c>
      <x:c r="M253" s="8" t="str">
        <x:v>e9zR4mvMWw7_f6c327acf9884d988714467217d67dcd</x:v>
      </x:c>
    </x:row>
    <x:row r="254" ht="44" customHeight="1">
      <x:c r="A254" s="8" t="str">
        <x:v>e9zR4mvMWw7</x:v>
      </x:c>
      <x:c r="B254" s="8" t="n">
        <x:v>39</x:v>
      </x:c>
      <x:c r="C254" s="8" t="str">
        <x:v>卧室</x:v>
      </x:c>
      <x:c r="D254" s="8" t="str">
        <x:v>早期争议复核导出.user_type</x:v>
      </x:c>
      <x:c r="E254" s="8" t="str">
        <x:v>卧室</x:v>
      </x:c>
      <x:c r="F254" s="8" t="str"/>
      <x:c r="G254" s="8" t="n">
        <x:v>0</x:v>
      </x:c>
      <x:c r="H254" s="8" t="n">
        <x:v>0</x:v>
      </x:c>
      <x:c r="I254" s="8" t="n">
        <x:v>26</x:v>
      </x:c>
      <x:c r="J254" s="8" t="n">
        <x:v>0</x:v>
      </x:c>
      <x:c r="K254" s="8" t="str">
        <x:v>["G100"]</x:v>
      </x:c>
      <x:c r="L254" s="8" t="str">
        <x:v>https://github.com/Sparkling-Flames/3D_Manhattan_label/blob/844a4694627e1eacc6bfb48911897335e48ecc17/data/mp3d_layout/test/img/e9zR4mvMWw7_f7ab5b3ece274b48be57eb65bb6d4814.png</x:v>
      </x:c>
      <x:c r="M254" s="8" t="str">
        <x:v>e9zR4mvMWw7_f7ab5b3ece274b48be57eb65bb6d4814</x:v>
      </x:c>
    </x:row>
    <x:row r="255" ht="44" customHeight="1">
      <x:c r="A255" s="8" t="str">
        <x:v>e9zR4mvMWw7</x:v>
      </x:c>
      <x:c r="B255" s="8" t="n">
        <x:v>40</x:v>
      </x:c>
      <x:c r="C255" s="8" t="str">
        <x:v>起居与休闲</x:v>
      </x:c>
      <x:c r="D255" s="8" t="str">
        <x:v>早期争议复核导出.user_type</x:v>
      </x:c>
      <x:c r="E255" s="8" t="str">
        <x:v>起居与休闲</x:v>
      </x:c>
      <x:c r="F255" s="8" t="str">
        <x:v>起居与休闲</x:v>
      </x:c>
      <x:c r="G255" s="8" t="n">
        <x:v>0</x:v>
      </x:c>
      <x:c r="H255" s="8" t="n">
        <x:v>0</x:v>
      </x:c>
      <x:c r="I255" s="8" t="n">
        <x:v>0</x:v>
      </x:c>
      <x:c r="J255" s="8" t="n">
        <x:v>19</x:v>
      </x:c>
      <x:c r="K255" s="8" t="str">
        <x:v>["G098"]</x:v>
      </x:c>
      <x:c r="L255" s="8" t="str">
        <x:v>https://github.com/Sparkling-Flames/3D_Manhattan_label/blob/844a4694627e1eacc6bfb48911897335e48ecc17/data/mp3d_layout/test/img/e9zR4mvMWw7_f8d915e2d06a4ff8ab6f4cdaf3e42295.png</x:v>
      </x:c>
      <x:c r="M255" s="8" t="str">
        <x:v>e9zR4mvMWw7_f8d915e2d06a4ff8ab6f4cdaf3e42295</x:v>
      </x:c>
    </x:row>
    <x:row r="256" ht="44" customHeight="1">
      <x:c r="A256" s="8" t="str">
        <x:v>e9zR4mvMWw7</x:v>
      </x:c>
      <x:c r="B256" s="8" t="n">
        <x:v>41</x:v>
      </x:c>
      <x:c r="C256" s="8" t="str">
        <x:v>通行与连接</x:v>
      </x:c>
      <x:c r="D256" s="8" t="str">
        <x:v>早期争议复核导出.user_type</x:v>
      </x:c>
      <x:c r="E256" s="8" t="str">
        <x:v>通行与连接</x:v>
      </x:c>
      <x:c r="F256" s="8" t="str">
        <x:v>通行与连接</x:v>
      </x:c>
      <x:c r="G256" s="8" t="n">
        <x:v>0</x:v>
      </x:c>
      <x:c r="H256" s="8" t="n">
        <x:v>0</x:v>
      </x:c>
      <x:c r="I256" s="8" t="n">
        <x:v>0</x:v>
      </x:c>
      <x:c r="J256" s="8" t="n">
        <x:v>19</x:v>
      </x:c>
      <x:c r="K256" s="8" t="str">
        <x:v>["G095"]</x:v>
      </x:c>
      <x:c r="L256" s="8" t="str">
        <x:v>https://github.com/Sparkling-Flames/3D_Manhattan_label/blob/844a4694627e1eacc6bfb48911897335e48ecc17/data/mp3d_layout/test/img/e9zR4mvMWw7_fa7122ef2199445485623708ea54d018.png</x:v>
      </x:c>
      <x:c r="M256" s="8" t="str">
        <x:v>e9zR4mvMWw7_fa7122ef2199445485623708ea54d018</x:v>
      </x:c>
    </x:row>
    <x:row r="257" ht="44" customHeight="1">
      <x:c r="A257" s="8" t="str">
        <x:v>jh4fc5c5qoQ</x:v>
      </x:c>
      <x:c r="B257" s="8" t="n">
        <x:v>1</x:v>
      </x:c>
      <x:c r="C257" s="8" t="str">
        <x:v>卫浴</x:v>
      </x:c>
      <x:c r="D257" s="8" t="str">
        <x:v>早期争议复核导出.user_type</x:v>
      </x:c>
      <x:c r="E257" s="8" t="str">
        <x:v>卫浴</x:v>
      </x:c>
      <x:c r="F257" s="8" t="str"/>
      <x:c r="G257" s="8" t="n">
        <x:v>0</x:v>
      </x:c>
      <x:c r="H257" s="8" t="n">
        <x:v>0</x:v>
      </x:c>
      <x:c r="I257" s="8" t="n">
        <x:v>0</x:v>
      </x:c>
      <x:c r="J257" s="8" t="n">
        <x:v>19</x:v>
      </x:c>
      <x:c r="K257" s="8" t="str">
        <x:v>["G101"]</x:v>
      </x:c>
      <x:c r="L257" s="8" t="str">
        <x:v>https://github.com/Sparkling-Flames/3D_Manhattan_label/blob/844a4694627e1eacc6bfb48911897335e48ecc17/data/mp3d_layout/valid/img/jh4fc5c5qoQ_1eac2c379ebf4e059f4a35e584f82f9b.png</x:v>
      </x:c>
      <x:c r="M257" s="8" t="str">
        <x:v>jh4fc5c5qoQ_1eac2c379ebf4e059f4a35e584f82f9b</x:v>
      </x:c>
    </x:row>
    <x:row r="258" ht="44" customHeight="1">
      <x:c r="A258" s="8" t="str">
        <x:v>jh4fc5c5qoQ</x:v>
      </x:c>
      <x:c r="B258" s="8" t="n">
        <x:v>2</x:v>
      </x:c>
      <x:c r="C258" s="8" t="str">
        <x:v>卧室</x:v>
      </x:c>
      <x:c r="D258" s="8" t="str">
        <x:v>早期争议复核导出.user_type</x:v>
      </x:c>
      <x:c r="E258" s="8" t="str">
        <x:v>卧室</x:v>
      </x:c>
      <x:c r="F258" s="8" t="str"/>
      <x:c r="G258" s="8" t="n">
        <x:v>4</x:v>
      </x:c>
      <x:c r="H258" s="8" t="n">
        <x:v>3</x:v>
      </x:c>
      <x:c r="I258" s="8" t="n">
        <x:v>0</x:v>
      </x:c>
      <x:c r="J258" s="8" t="n">
        <x:v>16</x:v>
      </x:c>
      <x:c r="K258" s="8" t="str">
        <x:v>["G102"]</x:v>
      </x:c>
      <x:c r="L258" s="8" t="str">
        <x:v>https://github.com/Sparkling-Flames/3D_Manhattan_label/blob/844a4694627e1eacc6bfb48911897335e48ecc17/data/mp3d_layout/valid/img/jh4fc5c5qoQ_30cdb6fe9aa6449788e271f2e24d76ec.png</x:v>
      </x:c>
      <x:c r="M258" s="8" t="str">
        <x:v>jh4fc5c5qoQ_30cdb6fe9aa6449788e271f2e24d76ec</x:v>
      </x:c>
    </x:row>
    <x:row r="259" ht="44" customHeight="1">
      <x:c r="A259" s="8" t="str">
        <x:v>jh4fc5c5qoQ</x:v>
      </x:c>
      <x:c r="B259" s="8" t="n">
        <x:v>3</x:v>
      </x:c>
      <x:c r="C259" s="8" t="str">
        <x:v>厨房与用餐</x:v>
      </x:c>
      <x:c r="D259" s="8" t="str">
        <x:v>早期争议复核导出.user_type</x:v>
      </x:c>
      <x:c r="E259" s="8" t="str">
        <x:v>厨房与用餐</x:v>
      </x:c>
      <x:c r="F259" s="8" t="str">
        <x:v>开放复合空间</x:v>
      </x:c>
      <x:c r="G259" s="8" t="n">
        <x:v>0</x:v>
      </x:c>
      <x:c r="H259" s="8" t="n">
        <x:v>0</x:v>
      </x:c>
      <x:c r="I259" s="8" t="n">
        <x:v>0</x:v>
      </x:c>
      <x:c r="J259" s="8" t="n">
        <x:v>19</x:v>
      </x:c>
      <x:c r="K259" s="8" t="str">
        <x:v>["G103", "G104"]</x:v>
      </x:c>
      <x:c r="L259" s="8" t="str">
        <x:v>https://github.com/Sparkling-Flames/3D_Manhattan_label/blob/844a4694627e1eacc6bfb48911897335e48ecc17/data/mp3d_layout/valid/img/jh4fc5c5qoQ_3182b6eba9ce405f9e1c0af86cc6b862.png</x:v>
      </x:c>
      <x:c r="M259" s="8" t="str">
        <x:v>jh4fc5c5qoQ_3182b6eba9ce405f9e1c0af86cc6b862</x:v>
      </x:c>
    </x:row>
    <x:row r="260" ht="44" customHeight="1">
      <x:c r="A260" s="8" t="str">
        <x:v>jh4fc5c5qoQ</x:v>
      </x:c>
      <x:c r="B260" s="8" t="n">
        <x:v>4</x:v>
      </x:c>
      <x:c r="C260" s="8" t="str">
        <x:v>起居与休闲</x:v>
      </x:c>
      <x:c r="D260" s="8" t="str">
        <x:v>早期争议复核导出.user_type</x:v>
      </x:c>
      <x:c r="E260" s="8" t="str">
        <x:v>起居与休闲</x:v>
      </x:c>
      <x:c r="F260" s="8" t="str">
        <x:v>开放复合空间</x:v>
      </x:c>
      <x:c r="G260" s="8" t="n">
        <x:v>2</x:v>
      </x:c>
      <x:c r="H260" s="8" t="n">
        <x:v>2</x:v>
      </x:c>
      <x:c r="I260" s="8" t="n">
        <x:v>0</x:v>
      </x:c>
      <x:c r="J260" s="8" t="n">
        <x:v>17</x:v>
      </x:c>
      <x:c r="K260" s="8" t="str">
        <x:v>["G103", "G105"]</x:v>
      </x:c>
      <x:c r="L260" s="8" t="str">
        <x:v>https://github.com/Sparkling-Flames/3D_Manhattan_label/blob/844a4694627e1eacc6bfb48911897335e48ecc17/data/mp3d_layout/valid/img/jh4fc5c5qoQ_4547d37b305e41bdad0de45ade6971ca.png</x:v>
      </x:c>
      <x:c r="M260" s="8" t="str">
        <x:v>jh4fc5c5qoQ_4547d37b305e41bdad0de45ade6971ca</x:v>
      </x:c>
    </x:row>
    <x:row r="261" ht="44" customHeight="1">
      <x:c r="A261" s="8" t="str">
        <x:v>jh4fc5c5qoQ</x:v>
      </x:c>
      <x:c r="B261" s="8" t="n">
        <x:v>5</x:v>
      </x:c>
      <x:c r="C261" s="8" t="str">
        <x:v>卧室</x:v>
      </x:c>
      <x:c r="D261" s="8" t="str">
        <x:v>早期争议复核导出.user_type</x:v>
      </x:c>
      <x:c r="E261" s="8" t="str">
        <x:v>卧室</x:v>
      </x:c>
      <x:c r="F261" s="8" t="str">
        <x:v>卧室</x:v>
      </x:c>
      <x:c r="G261" s="8" t="n">
        <x:v>0</x:v>
      </x:c>
      <x:c r="H261" s="8" t="n">
        <x:v>0</x:v>
      </x:c>
      <x:c r="I261" s="8" t="n">
        <x:v>0</x:v>
      </x:c>
      <x:c r="J261" s="8" t="n">
        <x:v>19</x:v>
      </x:c>
      <x:c r="K261" s="8" t="str">
        <x:v>["G106", "G107"]</x:v>
      </x:c>
      <x:c r="L261" s="8" t="str">
        <x:v>https://github.com/Sparkling-Flames/3D_Manhattan_label/blob/844a4694627e1eacc6bfb48911897335e48ecc17/data/mp3d_layout/valid/img/jh4fc5c5qoQ_45b6596b2c8f4336b7293cfd6d910492.png</x:v>
      </x:c>
      <x:c r="M261" s="8" t="str">
        <x:v>jh4fc5c5qoQ_45b6596b2c8f4336b7293cfd6d910492</x:v>
      </x:c>
    </x:row>
    <x:row r="262" ht="44" customHeight="1">
      <x:c r="A262" s="8" t="str">
        <x:v>jh4fc5c5qoQ</x:v>
      </x:c>
      <x:c r="B262" s="8" t="n">
        <x:v>6</x:v>
      </x:c>
      <x:c r="C262" s="8" t="str">
        <x:v>卫浴</x:v>
      </x:c>
      <x:c r="D262" s="8" t="str">
        <x:v>早期争议复核导出.user_type</x:v>
      </x:c>
      <x:c r="E262" s="8" t="str">
        <x:v>卫浴</x:v>
      </x:c>
      <x:c r="F262" s="8" t="str"/>
      <x:c r="G262" s="8" t="n">
        <x:v>0</x:v>
      </x:c>
      <x:c r="H262" s="8" t="n">
        <x:v>0</x:v>
      </x:c>
      <x:c r="I262" s="8" t="n">
        <x:v>0</x:v>
      </x:c>
      <x:c r="J262" s="8" t="n">
        <x:v>19</x:v>
      </x:c>
      <x:c r="K262" s="8" t="str">
        <x:v>["G101", "G108"]</x:v>
      </x:c>
      <x:c r="L262" s="8" t="str">
        <x:v>https://github.com/Sparkling-Flames/3D_Manhattan_label/blob/844a4694627e1eacc6bfb48911897335e48ecc17/data/mp3d_layout/valid/img/jh4fc5c5qoQ_5ce75bcca20d46a8adba099e08a36c8e.png</x:v>
      </x:c>
      <x:c r="M262" s="8" t="str">
        <x:v>jh4fc5c5qoQ_5ce75bcca20d46a8adba099e08a36c8e</x:v>
      </x:c>
    </x:row>
    <x:row r="263" ht="44" customHeight="1">
      <x:c r="A263" s="8" t="str">
        <x:v>jh4fc5c5qoQ</x:v>
      </x:c>
      <x:c r="B263" s="8" t="n">
        <x:v>7</x:v>
      </x:c>
      <x:c r="C263" s="8" t="str">
        <x:v>待拆解(null)</x:v>
      </x:c>
      <x:c r="D263" s="8" t="str">
        <x:v>早期争议复核导出.user_type</x:v>
      </x:c>
      <x:c r="E263" s="8" t="str">
        <x:v>复合／待定</x:v>
      </x:c>
      <x:c r="F263" s="8" t="str">
        <x:v>开放复合空间</x:v>
      </x:c>
      <x:c r="G263" s="8" t="n">
        <x:v>0</x:v>
      </x:c>
      <x:c r="H263" s="8" t="n">
        <x:v>0</x:v>
      </x:c>
      <x:c r="I263" s="8" t="n">
        <x:v>0</x:v>
      </x:c>
      <x:c r="J263" s="8" t="n">
        <x:v>19</x:v>
      </x:c>
      <x:c r="K263" s="8" t="str">
        <x:v>["G105"]</x:v>
      </x:c>
      <x:c r="L263" s="8" t="str">
        <x:v>https://github.com/Sparkling-Flames/3D_Manhattan_label/blob/844a4694627e1eacc6bfb48911897335e48ecc17/data/mp3d_layout/valid/img/jh4fc5c5qoQ_6ab11272308c46068c9ae583da8ff311.png</x:v>
      </x:c>
      <x:c r="M263" s="8" t="str">
        <x:v>jh4fc5c5qoQ_6ab11272308c46068c9ae583da8ff311</x:v>
      </x:c>
    </x:row>
    <x:row r="264" ht="44" customHeight="1">
      <x:c r="A264" s="8" t="str">
        <x:v>jh4fc5c5qoQ</x:v>
      </x:c>
      <x:c r="B264" s="8" t="n">
        <x:v>8</x:v>
      </x:c>
      <x:c r="C264" s="8" t="str">
        <x:v>卧室</x:v>
      </x:c>
      <x:c r="D264" s="8" t="str">
        <x:v>早期争议复核导出.user_type</x:v>
      </x:c>
      <x:c r="E264" s="8" t="str">
        <x:v>卧室</x:v>
      </x:c>
      <x:c r="F264" s="8" t="str">
        <x:v>卧室</x:v>
      </x:c>
      <x:c r="G264" s="8" t="n">
        <x:v>0</x:v>
      </x:c>
      <x:c r="H264" s="8" t="n">
        <x:v>0</x:v>
      </x:c>
      <x:c r="I264" s="8" t="n">
        <x:v>0</x:v>
      </x:c>
      <x:c r="J264" s="8" t="n">
        <x:v>19</x:v>
      </x:c>
      <x:c r="K264" s="8" t="str">
        <x:v>["G106"]</x:v>
      </x:c>
      <x:c r="L264" s="8" t="str">
        <x:v>https://github.com/Sparkling-Flames/3D_Manhattan_label/blob/844a4694627e1eacc6bfb48911897335e48ecc17/data/mp3d_layout/valid/img/jh4fc5c5qoQ_755d110c2ed84d76be11ad56ae00b53f.png</x:v>
      </x:c>
      <x:c r="M264" s="8" t="str">
        <x:v>jh4fc5c5qoQ_755d110c2ed84d76be11ad56ae00b53f</x:v>
      </x:c>
    </x:row>
    <x:row r="265" ht="44" customHeight="1">
      <x:c r="A265" s="8" t="str">
        <x:v>jh4fc5c5qoQ</x:v>
      </x:c>
      <x:c r="B265" s="8" t="n">
        <x:v>9</x:v>
      </x:c>
      <x:c r="C265" s="8" t="str">
        <x:v>卧室</x:v>
      </x:c>
      <x:c r="D265" s="8" t="str">
        <x:v>早期争议复核导出.user_type</x:v>
      </x:c>
      <x:c r="E265" s="8" t="str">
        <x:v>卧室</x:v>
      </x:c>
      <x:c r="F265" s="8" t="str">
        <x:v>卧室</x:v>
      </x:c>
      <x:c r="G265" s="8" t="n">
        <x:v>2</x:v>
      </x:c>
      <x:c r="H265" s="8" t="n">
        <x:v>2</x:v>
      </x:c>
      <x:c r="I265" s="8" t="n">
        <x:v>0</x:v>
      </x:c>
      <x:c r="J265" s="8" t="n">
        <x:v>17</x:v>
      </x:c>
      <x:c r="K265" s="8" t="str">
        <x:v>["G107"]</x:v>
      </x:c>
      <x:c r="L265" s="8" t="str">
        <x:v>https://github.com/Sparkling-Flames/3D_Manhattan_label/blob/844a4694627e1eacc6bfb48911897335e48ecc17/data/mp3d_layout/valid/img/jh4fc5c5qoQ_77e6cfabf32d46fc9398ce824843adaa.png</x:v>
      </x:c>
      <x:c r="M265" s="8" t="str">
        <x:v>jh4fc5c5qoQ_77e6cfabf32d46fc9398ce824843adaa</x:v>
      </x:c>
    </x:row>
    <x:row r="266" ht="44" customHeight="1">
      <x:c r="A266" s="8" t="str">
        <x:v>jh4fc5c5qoQ</x:v>
      </x:c>
      <x:c r="B266" s="8" t="n">
        <x:v>10</x:v>
      </x:c>
      <x:c r="C266" s="8" t="str">
        <x:v>起居与休闲</x:v>
      </x:c>
      <x:c r="D266" s="8" t="str">
        <x:v>早期争议复核导出.user_type</x:v>
      </x:c>
      <x:c r="E266" s="8" t="str">
        <x:v>起居与休闲</x:v>
      </x:c>
      <x:c r="F266" s="8" t="str">
        <x:v>开放复合空间</x:v>
      </x:c>
      <x:c r="G266" s="8" t="n">
        <x:v>2</x:v>
      </x:c>
      <x:c r="H266" s="8" t="n">
        <x:v>1</x:v>
      </x:c>
      <x:c r="I266" s="8" t="n">
        <x:v>0</x:v>
      </x:c>
      <x:c r="J266" s="8" t="n">
        <x:v>18</x:v>
      </x:c>
      <x:c r="K266" s="8" t="str">
        <x:v>["G105"]</x:v>
      </x:c>
      <x:c r="L266" s="8" t="str">
        <x:v>https://github.com/Sparkling-Flames/3D_Manhattan_label/blob/844a4694627e1eacc6bfb48911897335e48ecc17/data/mp3d_layout/valid/img/jh4fc5c5qoQ_855bc326ad174253b57626daf123c608.png</x:v>
      </x:c>
      <x:c r="M266" s="8" t="str">
        <x:v>jh4fc5c5qoQ_855bc326ad174253b57626daf123c608</x:v>
      </x:c>
    </x:row>
    <x:row r="267" ht="44" customHeight="1">
      <x:c r="A267" s="8" t="str">
        <x:v>jh4fc5c5qoQ</x:v>
      </x:c>
      <x:c r="B267" s="8" t="n">
        <x:v>11</x:v>
      </x:c>
      <x:c r="C267" s="8" t="str">
        <x:v>厨房与用餐</x:v>
      </x:c>
      <x:c r="D267" s="8" t="str">
        <x:v>早期争议复核导出.user_type</x:v>
      </x:c>
      <x:c r="E267" s="8" t="str">
        <x:v>厨房与用餐</x:v>
      </x:c>
      <x:c r="F267" s="8" t="str">
        <x:v>开放复合空间</x:v>
      </x:c>
      <x:c r="G267" s="8" t="n">
        <x:v>0</x:v>
      </x:c>
      <x:c r="H267" s="8" t="n">
        <x:v>0</x:v>
      </x:c>
      <x:c r="I267" s="8" t="n">
        <x:v>0</x:v>
      </x:c>
      <x:c r="J267" s="8" t="n">
        <x:v>19</x:v>
      </x:c>
      <x:c r="K267" s="8" t="str">
        <x:v>["G104"]</x:v>
      </x:c>
      <x:c r="L267" s="8" t="str">
        <x:v>https://github.com/Sparkling-Flames/3D_Manhattan_label/blob/844a4694627e1eacc6bfb48911897335e48ecc17/data/mp3d_layout/valid/img/jh4fc5c5qoQ_97739a403b984dcd8253741a073b18dd.png</x:v>
      </x:c>
      <x:c r="M267" s="8" t="str">
        <x:v>jh4fc5c5qoQ_97739a403b984dcd8253741a073b18dd</x:v>
      </x:c>
    </x:row>
    <x:row r="268" ht="44" customHeight="1">
      <x:c r="A268" s="8" t="str">
        <x:v>jh4fc5c5qoQ</x:v>
      </x:c>
      <x:c r="B268" s="8" t="n">
        <x:v>12</x:v>
      </x:c>
      <x:c r="C268" s="8" t="str">
        <x:v>卫浴</x:v>
      </x:c>
      <x:c r="D268" s="8" t="str">
        <x:v>早期争议复核导出.user_type</x:v>
      </x:c>
      <x:c r="E268" s="8" t="str">
        <x:v>卫浴</x:v>
      </x:c>
      <x:c r="F268" s="8" t="str"/>
      <x:c r="G268" s="8" t="n">
        <x:v>2</x:v>
      </x:c>
      <x:c r="H268" s="8" t="n">
        <x:v>2</x:v>
      </x:c>
      <x:c r="I268" s="8" t="n">
        <x:v>0</x:v>
      </x:c>
      <x:c r="J268" s="8" t="n">
        <x:v>17</x:v>
      </x:c>
      <x:c r="K268" s="8" t="str">
        <x:v>["G108"]</x:v>
      </x:c>
      <x:c r="L268" s="8" t="str">
        <x:v>https://github.com/Sparkling-Flames/3D_Manhattan_label/blob/844a4694627e1eacc6bfb48911897335e48ecc17/data/mp3d_layout/valid/img/jh4fc5c5qoQ_a59a3a61089343a8ba2834e7d3cd1066.png</x:v>
      </x:c>
      <x:c r="M268" s="8" t="str">
        <x:v>jh4fc5c5qoQ_a59a3a61089343a8ba2834e7d3cd1066</x:v>
      </x:c>
    </x:row>
    <x:row r="269" ht="44" customHeight="1">
      <x:c r="A269" s="8" t="str">
        <x:v>jh4fc5c5qoQ</x:v>
      </x:c>
      <x:c r="B269" s="8" t="n">
        <x:v>13</x:v>
      </x:c>
      <x:c r="C269" s="8" t="str">
        <x:v>厨房与用餐</x:v>
      </x:c>
      <x:c r="D269" s="8" t="str">
        <x:v>早期争议复核导出.user_type</x:v>
      </x:c>
      <x:c r="E269" s="8" t="str">
        <x:v>厨房与用餐</x:v>
      </x:c>
      <x:c r="F269" s="8" t="str">
        <x:v>开放复合空间</x:v>
      </x:c>
      <x:c r="G269" s="8" t="n">
        <x:v>1</x:v>
      </x:c>
      <x:c r="H269" s="8" t="n">
        <x:v>1</x:v>
      </x:c>
      <x:c r="I269" s="8" t="n">
        <x:v>0</x:v>
      </x:c>
      <x:c r="J269" s="8" t="n">
        <x:v>18</x:v>
      </x:c>
      <x:c r="K269" s="8" t="str">
        <x:v>["G104"]</x:v>
      </x:c>
      <x:c r="L269" s="8" t="str">
        <x:v>https://github.com/Sparkling-Flames/3D_Manhattan_label/blob/844a4694627e1eacc6bfb48911897335e48ecc17/data/mp3d_layout/valid/img/jh4fc5c5qoQ_abbdc7ac89204f23a935fcb9ccae887c.png</x:v>
      </x:c>
      <x:c r="M269" s="8" t="str">
        <x:v>jh4fc5c5qoQ_abbdc7ac89204f23a935fcb9ccae887c</x:v>
      </x:c>
    </x:row>
    <x:row r="270" ht="44" customHeight="1">
      <x:c r="A270" s="8" t="str">
        <x:v>jh4fc5c5qoQ</x:v>
      </x:c>
      <x:c r="B270" s="8" t="n">
        <x:v>14</x:v>
      </x:c>
      <x:c r="C270" s="8" t="str">
        <x:v>卧室</x:v>
      </x:c>
      <x:c r="D270" s="8" t="str">
        <x:v>早期争议复核导出.user_type</x:v>
      </x:c>
      <x:c r="E270" s="8" t="str">
        <x:v>卧室</x:v>
      </x:c>
      <x:c r="F270" s="8" t="str"/>
      <x:c r="G270" s="8" t="n">
        <x:v>2</x:v>
      </x:c>
      <x:c r="H270" s="8" t="n">
        <x:v>2</x:v>
      </x:c>
      <x:c r="I270" s="8" t="n">
        <x:v>0</x:v>
      </x:c>
      <x:c r="J270" s="8" t="n">
        <x:v>17</x:v>
      </x:c>
      <x:c r="K270" s="8" t="str">
        <x:v>["G102"]</x:v>
      </x:c>
      <x:c r="L270" s="8" t="str">
        <x:v>https://github.com/Sparkling-Flames/3D_Manhattan_label/blob/844a4694627e1eacc6bfb48911897335e48ecc17/data/mp3d_layout/valid/img/jh4fc5c5qoQ_b000c5baa76b454caa1c58c9aac585f6.png</x:v>
      </x:c>
      <x:c r="M270" s="8" t="str">
        <x:v>jh4fc5c5qoQ_b000c5baa76b454caa1c58c9aac585f6</x:v>
      </x:c>
    </x:row>
    <x:row r="271" ht="44" customHeight="1">
      <x:c r="A271" s="8" t="str">
        <x:v>jh4fc5c5qoQ</x:v>
      </x:c>
      <x:c r="B271" s="8" t="n">
        <x:v>15</x:v>
      </x:c>
      <x:c r="C271" s="8" t="str">
        <x:v>卧室</x:v>
      </x:c>
      <x:c r="D271" s="8" t="str">
        <x:v>早期争议复核导出.user_type</x:v>
      </x:c>
      <x:c r="E271" s="8" t="str">
        <x:v>卧室</x:v>
      </x:c>
      <x:c r="F271" s="8" t="str">
        <x:v>卧室</x:v>
      </x:c>
      <x:c r="G271" s="8" t="n">
        <x:v>0</x:v>
      </x:c>
      <x:c r="H271" s="8" t="n">
        <x:v>0</x:v>
      </x:c>
      <x:c r="I271" s="8" t="n">
        <x:v>0</x:v>
      </x:c>
      <x:c r="J271" s="8" t="n">
        <x:v>19</x:v>
      </x:c>
      <x:c r="K271" s="8" t="str">
        <x:v>["G106"]</x:v>
      </x:c>
      <x:c r="L271" s="8" t="str">
        <x:v>https://github.com/Sparkling-Flames/3D_Manhattan_label/blob/844a4694627e1eacc6bfb48911897335e48ecc17/data/mp3d_layout/valid/img/jh4fc5c5qoQ_d6d4416592a0483691a1ed7d3b336a1a.png</x:v>
      </x:c>
      <x:c r="M271" s="8" t="str">
        <x:v>jh4fc5c5qoQ_d6d4416592a0483691a1ed7d3b336a1a</x:v>
      </x:c>
    </x:row>
    <x:row r="272" ht="44" customHeight="1">
      <x:c r="A272" s="8" t="str">
        <x:v>jtcxE69GiFV</x:v>
      </x:c>
      <x:c r="B272" s="8" t="n">
        <x:v>1</x:v>
      </x:c>
      <x:c r="C272" s="8" t="str">
        <x:v>卧室</x:v>
      </x:c>
      <x:c r="D272" s="8" t="str">
        <x:v>早期争议复核导出.user_type</x:v>
      </x:c>
      <x:c r="E272" s="8" t="str">
        <x:v>卧室</x:v>
      </x:c>
      <x:c r="F272" s="8" t="str">
        <x:v>卧室</x:v>
      </x:c>
      <x:c r="G272" s="8" t="n">
        <x:v>0</x:v>
      </x:c>
      <x:c r="H272" s="8" t="n">
        <x:v>0</x:v>
      </x:c>
      <x:c r="I272" s="8" t="n">
        <x:v>0</x:v>
      </x:c>
      <x:c r="J272" s="8" t="n">
        <x:v>19</x:v>
      </x:c>
      <x:c r="K272" s="8" t="str">
        <x:v>["G109"]</x:v>
      </x:c>
      <x:c r="L272" s="8" t="str">
        <x:v>https://github.com/Sparkling-Flames/3D_Manhattan_label/blob/844a4694627e1eacc6bfb48911897335e48ecc17/data/mp3d_layout/valid/img/jtcxE69GiFV_001ad2ad14234e06b2d996d71bb96fc4.png</x:v>
      </x:c>
      <x:c r="M272" s="8" t="str">
        <x:v>jtcxE69GiFV_001ad2ad14234e06b2d996d71bb96fc4</x:v>
      </x:c>
    </x:row>
    <x:row r="273" ht="44" customHeight="1">
      <x:c r="A273" s="8" t="str">
        <x:v>jtcxE69GiFV</x:v>
      </x:c>
      <x:c r="B273" s="8" t="n">
        <x:v>2</x:v>
      </x:c>
      <x:c r="C273" s="8" t="str">
        <x:v>卫浴</x:v>
      </x:c>
      <x:c r="D273" s="8" t="str">
        <x:v>早期争议复核导出.user_type</x:v>
      </x:c>
      <x:c r="E273" s="8" t="str">
        <x:v>卫浴</x:v>
      </x:c>
      <x:c r="F273" s="8" t="str">
        <x:v>通行与连接</x:v>
      </x:c>
      <x:c r="G273" s="8" t="n">
        <x:v>0</x:v>
      </x:c>
      <x:c r="H273" s="8" t="n">
        <x:v>0</x:v>
      </x:c>
      <x:c r="I273" s="8" t="n">
        <x:v>0</x:v>
      </x:c>
      <x:c r="J273" s="8" t="n">
        <x:v>19</x:v>
      </x:c>
      <x:c r="K273" s="8" t="str">
        <x:v>[]</x:v>
      </x:c>
      <x:c r="L273" s="8" t="str">
        <x:v>https://github.com/Sparkling-Flames/3D_Manhattan_label/blob/844a4694627e1eacc6bfb48911897335e48ecc17/data/mp3d_layout/valid/img/jtcxE69GiFV_0465bba4a7724a20876d042cab3b9ca1.png</x:v>
      </x:c>
      <x:c r="M273" s="8" t="str">
        <x:v>jtcxE69GiFV_0465bba4a7724a20876d042cab3b9ca1</x:v>
      </x:c>
    </x:row>
    <x:row r="274" ht="44" customHeight="1">
      <x:c r="A274" s="8" t="str">
        <x:v>jtcxE69GiFV</x:v>
      </x:c>
      <x:c r="B274" s="8" t="n">
        <x:v>3</x:v>
      </x:c>
      <x:c r="C274" s="8" t="str">
        <x:v>厨房与用餐</x:v>
      </x:c>
      <x:c r="D274" s="8" t="str">
        <x:v>早期争议复核导出.user_type</x:v>
      </x:c>
      <x:c r="E274" s="8" t="str">
        <x:v>厨房与用餐</x:v>
      </x:c>
      <x:c r="F274" s="8" t="str">
        <x:v>厨房与用餐</x:v>
      </x:c>
      <x:c r="G274" s="8" t="n">
        <x:v>3</x:v>
      </x:c>
      <x:c r="H274" s="8" t="n">
        <x:v>3</x:v>
      </x:c>
      <x:c r="I274" s="8" t="n">
        <x:v>0</x:v>
      </x:c>
      <x:c r="J274" s="8" t="n">
        <x:v>16</x:v>
      </x:c>
      <x:c r="K274" s="8" t="str">
        <x:v>["G110"]</x:v>
      </x:c>
      <x:c r="L274" s="8" t="str">
        <x:v>https://github.com/Sparkling-Flames/3D_Manhattan_label/blob/844a4694627e1eacc6bfb48911897335e48ecc17/data/mp3d_layout/valid/img/jtcxE69GiFV_0aa01000f1934e73b35c348fa8d15040.png</x:v>
      </x:c>
      <x:c r="M274" s="8" t="str">
        <x:v>jtcxE69GiFV_0aa01000f1934e73b35c348fa8d15040</x:v>
      </x:c>
    </x:row>
    <x:row r="275" ht="44" customHeight="1">
      <x:c r="A275" s="8" t="str">
        <x:v>jtcxE69GiFV</x:v>
      </x:c>
      <x:c r="B275" s="8" t="n">
        <x:v>4</x:v>
      </x:c>
      <x:c r="C275" s="8" t="str">
        <x:v>卫浴</x:v>
      </x:c>
      <x:c r="D275" s="8" t="str">
        <x:v>早期争议复核导出.user_type</x:v>
      </x:c>
      <x:c r="E275" s="8" t="str">
        <x:v>卫浴</x:v>
      </x:c>
      <x:c r="F275" s="8" t="str">
        <x:v>卫浴</x:v>
      </x:c>
      <x:c r="G275" s="8" t="n">
        <x:v>3</x:v>
      </x:c>
      <x:c r="H275" s="8" t="n">
        <x:v>3</x:v>
      </x:c>
      <x:c r="I275" s="8" t="n">
        <x:v>0</x:v>
      </x:c>
      <x:c r="J275" s="8" t="n">
        <x:v>16</x:v>
      </x:c>
      <x:c r="K275" s="8" t="str">
        <x:v>[]</x:v>
      </x:c>
      <x:c r="L275" s="8" t="str">
        <x:v>https://github.com/Sparkling-Flames/3D_Manhattan_label/blob/844a4694627e1eacc6bfb48911897335e48ecc17/data/mp3d_layout/valid/img/jtcxE69GiFV_1df105f34ccf4844877be7e8e2d90fad.png</x:v>
      </x:c>
      <x:c r="M275" s="8" t="str">
        <x:v>jtcxE69GiFV_1df105f34ccf4844877be7e8e2d90fad</x:v>
      </x:c>
    </x:row>
    <x:row r="276" ht="44" customHeight="1">
      <x:c r="A276" s="8" t="str">
        <x:v>jtcxE69GiFV</x:v>
      </x:c>
      <x:c r="B276" s="8" t="n">
        <x:v>5</x:v>
      </x:c>
      <x:c r="C276" s="8" t="str">
        <x:v>卧室</x:v>
      </x:c>
      <x:c r="D276" s="8" t="str">
        <x:v>早期争议复核导出.user_type</x:v>
      </x:c>
      <x:c r="E276" s="8" t="str">
        <x:v>卧室</x:v>
      </x:c>
      <x:c r="F276" s="8" t="str">
        <x:v>卧室</x:v>
      </x:c>
      <x:c r="G276" s="8" t="n">
        <x:v>6</x:v>
      </x:c>
      <x:c r="H276" s="8" t="n">
        <x:v>6</x:v>
      </x:c>
      <x:c r="I276" s="8" t="n">
        <x:v>0</x:v>
      </x:c>
      <x:c r="J276" s="8" t="n">
        <x:v>13</x:v>
      </x:c>
      <x:c r="K276" s="8" t="str">
        <x:v>["G109"]</x:v>
      </x:c>
      <x:c r="L276" s="8" t="str">
        <x:v>https://github.com/Sparkling-Flames/3D_Manhattan_label/blob/844a4694627e1eacc6bfb48911897335e48ecc17/data/mp3d_layout/valid/img/jtcxE69GiFV_27535f650b78489abcf2397c1eaa3037.png</x:v>
      </x:c>
      <x:c r="M276" s="8" t="str">
        <x:v>jtcxE69GiFV_27535f650b78489abcf2397c1eaa3037</x:v>
      </x:c>
    </x:row>
    <x:row r="277" ht="44" customHeight="1">
      <x:c r="A277" s="8" t="str">
        <x:v>jtcxE69GiFV</x:v>
      </x:c>
      <x:c r="B277" s="8" t="n">
        <x:v>6</x:v>
      </x:c>
      <x:c r="C277" s="8" t="str">
        <x:v>卧室</x:v>
      </x:c>
      <x:c r="D277" s="8" t="str">
        <x:v>早期争议复核导出.user_type</x:v>
      </x:c>
      <x:c r="E277" s="8" t="str">
        <x:v>卧室</x:v>
      </x:c>
      <x:c r="F277" s="8" t="str"/>
      <x:c r="G277" s="8" t="n">
        <x:v>0</x:v>
      </x:c>
      <x:c r="H277" s="8" t="n">
        <x:v>0</x:v>
      </x:c>
      <x:c r="I277" s="8" t="n">
        <x:v>0</x:v>
      </x:c>
      <x:c r="J277" s="8" t="n">
        <x:v>19</x:v>
      </x:c>
      <x:c r="K277" s="8" t="str">
        <x:v>["G111"]</x:v>
      </x:c>
      <x:c r="L277" s="8" t="str">
        <x:v>https://github.com/Sparkling-Flames/3D_Manhattan_label/blob/844a4694627e1eacc6bfb48911897335e48ecc17/data/mp3d_layout/valid/img/jtcxE69GiFV_29d51ea54a5040098e9b1ba6eaa1f5bd.png</x:v>
      </x:c>
      <x:c r="M277" s="8" t="str">
        <x:v>jtcxE69GiFV_29d51ea54a5040098e9b1ba6eaa1f5bd</x:v>
      </x:c>
    </x:row>
    <x:row r="278" ht="44" customHeight="1">
      <x:c r="A278" s="8" t="str">
        <x:v>jtcxE69GiFV</x:v>
      </x:c>
      <x:c r="B278" s="8" t="n">
        <x:v>7</x:v>
      </x:c>
      <x:c r="C278" s="8" t="str">
        <x:v>卫浴</x:v>
      </x:c>
      <x:c r="D278" s="8" t="str">
        <x:v>早期争议复核导出.user_type</x:v>
      </x:c>
      <x:c r="E278" s="8" t="str">
        <x:v>卫浴</x:v>
      </x:c>
      <x:c r="F278" s="8" t="str"/>
      <x:c r="G278" s="8" t="n">
        <x:v>0</x:v>
      </x:c>
      <x:c r="H278" s="8" t="n">
        <x:v>0</x:v>
      </x:c>
      <x:c r="I278" s="8" t="n">
        <x:v>0</x:v>
      </x:c>
      <x:c r="J278" s="8" t="n">
        <x:v>19</x:v>
      </x:c>
      <x:c r="K278" s="8" t="str">
        <x:v>["G112"]</x:v>
      </x:c>
      <x:c r="L278" s="8" t="str">
        <x:v>https://github.com/Sparkling-Flames/3D_Manhattan_label/blob/844a4694627e1eacc6bfb48911897335e48ecc17/data/mp3d_layout/valid/img/jtcxE69GiFV_36d9e8e9eba24f3fbff08082c41a4d68.png</x:v>
      </x:c>
      <x:c r="M278" s="8" t="str">
        <x:v>jtcxE69GiFV_36d9e8e9eba24f3fbff08082c41a4d68</x:v>
      </x:c>
    </x:row>
    <x:row r="279" ht="44" customHeight="1">
      <x:c r="A279" s="8" t="str">
        <x:v>jtcxE69GiFV</x:v>
      </x:c>
      <x:c r="B279" s="8" t="n">
        <x:v>8</x:v>
      </x:c>
      <x:c r="C279" s="8" t="str">
        <x:v>厨房与用餐</x:v>
      </x:c>
      <x:c r="D279" s="8" t="str">
        <x:v>早期争议复核导出.user_type</x:v>
      </x:c>
      <x:c r="E279" s="8" t="str">
        <x:v>厨房与用餐</x:v>
      </x:c>
      <x:c r="F279" s="8" t="str">
        <x:v>厨房与用餐</x:v>
      </x:c>
      <x:c r="G279" s="8" t="n">
        <x:v>0</x:v>
      </x:c>
      <x:c r="H279" s="8" t="n">
        <x:v>0</x:v>
      </x:c>
      <x:c r="I279" s="8" t="n">
        <x:v>0</x:v>
      </x:c>
      <x:c r="J279" s="8" t="n">
        <x:v>19</x:v>
      </x:c>
      <x:c r="K279" s="8" t="str">
        <x:v>["G110"]</x:v>
      </x:c>
      <x:c r="L279" s="8" t="str">
        <x:v>https://github.com/Sparkling-Flames/3D_Manhattan_label/blob/844a4694627e1eacc6bfb48911897335e48ecc17/data/mp3d_layout/valid/img/jtcxE69GiFV_3a61b286f9574cebb27cce0efa211bd0.png</x:v>
      </x:c>
      <x:c r="M279" s="8" t="str">
        <x:v>jtcxE69GiFV_3a61b286f9574cebb27cce0efa211bd0</x:v>
      </x:c>
    </x:row>
    <x:row r="280" ht="44" customHeight="1">
      <x:c r="A280" s="8" t="str">
        <x:v>jtcxE69GiFV</x:v>
      </x:c>
      <x:c r="B280" s="8" t="n">
        <x:v>9</x:v>
      </x:c>
      <x:c r="C280" s="8" t="str">
        <x:v>卫浴</x:v>
      </x:c>
      <x:c r="D280" s="8" t="str">
        <x:v>早期争议复核导出.user_type</x:v>
      </x:c>
      <x:c r="E280" s="8" t="str">
        <x:v>卫浴</x:v>
      </x:c>
      <x:c r="F280" s="8" t="str">
        <x:v>卫浴</x:v>
      </x:c>
      <x:c r="G280" s="8" t="n">
        <x:v>1</x:v>
      </x:c>
      <x:c r="H280" s="8" t="n">
        <x:v>1</x:v>
      </x:c>
      <x:c r="I280" s="8" t="n">
        <x:v>0</x:v>
      </x:c>
      <x:c r="J280" s="8" t="n">
        <x:v>18</x:v>
      </x:c>
      <x:c r="K280" s="8" t="str">
        <x:v>[]</x:v>
      </x:c>
      <x:c r="L280" s="8" t="str">
        <x:v>https://github.com/Sparkling-Flames/3D_Manhattan_label/blob/844a4694627e1eacc6bfb48911897335e48ecc17/data/mp3d_layout/valid/img/jtcxE69GiFV_3fb4bb890d7f4964b496a46db647e72a.png</x:v>
      </x:c>
      <x:c r="M280" s="8" t="str">
        <x:v>jtcxE69GiFV_3fb4bb890d7f4964b496a46db647e72a</x:v>
      </x:c>
    </x:row>
    <x:row r="281" ht="44" customHeight="1">
      <x:c r="A281" s="8" t="str">
        <x:v>jtcxE69GiFV</x:v>
      </x:c>
      <x:c r="B281" s="8" t="n">
        <x:v>10</x:v>
      </x:c>
      <x:c r="C281" s="8" t="str">
        <x:v>储藏与家务辅助</x:v>
      </x:c>
      <x:c r="D281" s="8" t="str">
        <x:v>早期争议复核导出.user_type</x:v>
      </x:c>
      <x:c r="E281" s="8" t="str">
        <x:v>储藏与家务辅助</x:v>
      </x:c>
      <x:c r="F281" s="8" t="str">
        <x:v>通行与连接</x:v>
      </x:c>
      <x:c r="G281" s="8" t="n">
        <x:v>1</x:v>
      </x:c>
      <x:c r="H281" s="8" t="n">
        <x:v>1</x:v>
      </x:c>
      <x:c r="I281" s="8" t="n">
        <x:v>0</x:v>
      </x:c>
      <x:c r="J281" s="8" t="n">
        <x:v>18</x:v>
      </x:c>
      <x:c r="K281" s="8" t="str">
        <x:v>[]</x:v>
      </x:c>
      <x:c r="L281" s="8" t="str">
        <x:v>https://github.com/Sparkling-Flames/3D_Manhattan_label/blob/844a4694627e1eacc6bfb48911897335e48ecc17/data/mp3d_layout/valid/img/jtcxE69GiFV_44661972414d44fabc0799f237e4d7f0.png</x:v>
      </x:c>
      <x:c r="M281" s="8" t="str">
        <x:v>jtcxE69GiFV_44661972414d44fabc0799f237e4d7f0</x:v>
      </x:c>
    </x:row>
    <x:row r="282" ht="44" customHeight="1">
      <x:c r="A282" s="8" t="str">
        <x:v>jtcxE69GiFV</x:v>
      </x:c>
      <x:c r="B282" s="8" t="n">
        <x:v>11</x:v>
      </x:c>
      <x:c r="C282" s="8" t="str">
        <x:v>通行与连接</x:v>
      </x:c>
      <x:c r="D282" s="8" t="str">
        <x:v>早期争议复核导出.user_type</x:v>
      </x:c>
      <x:c r="E282" s="8" t="str">
        <x:v>通行与连接</x:v>
      </x:c>
      <x:c r="F282" s="8" t="str"/>
      <x:c r="G282" s="8" t="n">
        <x:v>2</x:v>
      </x:c>
      <x:c r="H282" s="8" t="n">
        <x:v>2</x:v>
      </x:c>
      <x:c r="I282" s="8" t="n">
        <x:v>0</x:v>
      </x:c>
      <x:c r="J282" s="8" t="n">
        <x:v>17</x:v>
      </x:c>
      <x:c r="K282" s="8" t="str">
        <x:v>["G113"]</x:v>
      </x:c>
      <x:c r="L282" s="8" t="str">
        <x:v>https://github.com/Sparkling-Flames/3D_Manhattan_label/blob/844a4694627e1eacc6bfb48911897335e48ecc17/data/mp3d_layout/valid/img/jtcxE69GiFV_4d7ce55eeb6643079aba3b10360de8d8.png</x:v>
      </x:c>
      <x:c r="M282" s="8" t="str">
        <x:v>jtcxE69GiFV_4d7ce55eeb6643079aba3b10360de8d8</x:v>
      </x:c>
    </x:row>
    <x:row r="283" ht="44" customHeight="1">
      <x:c r="A283" s="8" t="str">
        <x:v>jtcxE69GiFV</x:v>
      </x:c>
      <x:c r="B283" s="8" t="n">
        <x:v>12</x:v>
      </x:c>
      <x:c r="C283" s="8" t="str">
        <x:v>卧室</x:v>
      </x:c>
      <x:c r="D283" s="8" t="str">
        <x:v>早期争议复核导出.user_type</x:v>
      </x:c>
      <x:c r="E283" s="8" t="str">
        <x:v>卧室</x:v>
      </x:c>
      <x:c r="F283" s="8" t="str"/>
      <x:c r="G283" s="8" t="n">
        <x:v>1</x:v>
      </x:c>
      <x:c r="H283" s="8" t="n">
        <x:v>1</x:v>
      </x:c>
      <x:c r="I283" s="8" t="n">
        <x:v>0</x:v>
      </x:c>
      <x:c r="J283" s="8" t="n">
        <x:v>18</x:v>
      </x:c>
      <x:c r="K283" s="8" t="str">
        <x:v>["G111"]</x:v>
      </x:c>
      <x:c r="L283" s="8" t="str">
        <x:v>https://github.com/Sparkling-Flames/3D_Manhattan_label/blob/844a4694627e1eacc6bfb48911897335e48ecc17/data/mp3d_layout/valid/img/jtcxE69GiFV_539fb3f6f19b442285b593628a8ce14e.png</x:v>
      </x:c>
      <x:c r="M283" s="8" t="str">
        <x:v>jtcxE69GiFV_539fb3f6f19b442285b593628a8ce14e</x:v>
      </x:c>
    </x:row>
    <x:row r="284" ht="44" customHeight="1">
      <x:c r="A284" s="8" t="str">
        <x:v>jtcxE69GiFV</x:v>
      </x:c>
      <x:c r="B284" s="8" t="n">
        <x:v>13</x:v>
      </x:c>
      <x:c r="C284" s="8" t="str">
        <x:v>卫浴</x:v>
      </x:c>
      <x:c r="D284" s="8" t="str">
        <x:v>早期争议复核导出.user_type</x:v>
      </x:c>
      <x:c r="E284" s="8" t="str">
        <x:v>卫浴</x:v>
      </x:c>
      <x:c r="F284" s="8" t="str">
        <x:v>卫浴</x:v>
      </x:c>
      <x:c r="G284" s="8" t="n">
        <x:v>2</x:v>
      </x:c>
      <x:c r="H284" s="8" t="n">
        <x:v>2</x:v>
      </x:c>
      <x:c r="I284" s="8" t="n">
        <x:v>0</x:v>
      </x:c>
      <x:c r="J284" s="8" t="n">
        <x:v>17</x:v>
      </x:c>
      <x:c r="K284" s="8" t="str">
        <x:v>[]</x:v>
      </x:c>
      <x:c r="L284" s="8" t="str">
        <x:v>https://github.com/Sparkling-Flames/3D_Manhattan_label/blob/844a4694627e1eacc6bfb48911897335e48ecc17/data/mp3d_layout/valid/img/jtcxE69GiFV_5d3af9ad575b4be88587967ff8114c36.png</x:v>
      </x:c>
      <x:c r="M284" s="8" t="str">
        <x:v>jtcxE69GiFV_5d3af9ad575b4be88587967ff8114c36</x:v>
      </x:c>
    </x:row>
    <x:row r="285" ht="44" customHeight="1">
      <x:c r="A285" s="8" t="str">
        <x:v>jtcxE69GiFV</x:v>
      </x:c>
      <x:c r="B285" s="8" t="n">
        <x:v>14</x:v>
      </x:c>
      <x:c r="C285" s="8" t="str">
        <x:v>卫浴</x:v>
      </x:c>
      <x:c r="D285" s="8" t="str">
        <x:v>早期争议复核导出.user_type</x:v>
      </x:c>
      <x:c r="E285" s="8" t="str">
        <x:v>卫浴</x:v>
      </x:c>
      <x:c r="F285" s="8" t="str">
        <x:v>卫浴</x:v>
      </x:c>
      <x:c r="G285" s="8" t="n">
        <x:v>0</x:v>
      </x:c>
      <x:c r="H285" s="8" t="n">
        <x:v>0</x:v>
      </x:c>
      <x:c r="I285" s="8" t="n">
        <x:v>0</x:v>
      </x:c>
      <x:c r="J285" s="8" t="n">
        <x:v>19</x:v>
      </x:c>
      <x:c r="K285" s="8" t="str">
        <x:v>[]</x:v>
      </x:c>
      <x:c r="L285" s="8" t="str">
        <x:v>https://github.com/Sparkling-Flames/3D_Manhattan_label/blob/844a4694627e1eacc6bfb48911897335e48ecc17/data/mp3d_layout/valid/img/jtcxE69GiFV_63929ab917fd40f3ac0b6917b1bc97ff.png</x:v>
      </x:c>
      <x:c r="M285" s="8" t="str">
        <x:v>jtcxE69GiFV_63929ab917fd40f3ac0b6917b1bc97ff</x:v>
      </x:c>
    </x:row>
    <x:row r="286" ht="44" customHeight="1">
      <x:c r="A286" s="8" t="str">
        <x:v>jtcxE69GiFV</x:v>
      </x:c>
      <x:c r="B286" s="8" t="n">
        <x:v>15</x:v>
      </x:c>
      <x:c r="C286" s="8" t="str">
        <x:v>卫浴</x:v>
      </x:c>
      <x:c r="D286" s="8" t="str">
        <x:v>早期争议复核导出.user_type</x:v>
      </x:c>
      <x:c r="E286" s="8" t="str">
        <x:v>卫浴</x:v>
      </x:c>
      <x:c r="F286" s="8" t="str"/>
      <x:c r="G286" s="8" t="n">
        <x:v>0</x:v>
      </x:c>
      <x:c r="H286" s="8" t="n">
        <x:v>0</x:v>
      </x:c>
      <x:c r="I286" s="8" t="n">
        <x:v>0</x:v>
      </x:c>
      <x:c r="J286" s="8" t="n">
        <x:v>19</x:v>
      </x:c>
      <x:c r="K286" s="8" t="str">
        <x:v>["G112"]</x:v>
      </x:c>
      <x:c r="L286" s="8" t="str">
        <x:v>https://github.com/Sparkling-Flames/3D_Manhattan_label/blob/844a4694627e1eacc6bfb48911897335e48ecc17/data/mp3d_layout/valid/img/jtcxE69GiFV_650dbde3bd124db1bf8393250eda52ea.png</x:v>
      </x:c>
      <x:c r="M286" s="8" t="str">
        <x:v>jtcxE69GiFV_650dbde3bd124db1bf8393250eda52ea</x:v>
      </x:c>
    </x:row>
    <x:row r="287" ht="44" customHeight="1">
      <x:c r="A287" s="8" t="str">
        <x:v>jtcxE69GiFV</x:v>
      </x:c>
      <x:c r="B287" s="8" t="n">
        <x:v>16</x:v>
      </x:c>
      <x:c r="C287" s="8" t="str">
        <x:v>卧室</x:v>
      </x:c>
      <x:c r="D287" s="8" t="str">
        <x:v>早期争议复核导出.user_type</x:v>
      </x:c>
      <x:c r="E287" s="8" t="str">
        <x:v>卧室</x:v>
      </x:c>
      <x:c r="F287" s="8" t="str">
        <x:v>卧室</x:v>
      </x:c>
      <x:c r="G287" s="8" t="n">
        <x:v>0</x:v>
      </x:c>
      <x:c r="H287" s="8" t="n">
        <x:v>0</x:v>
      </x:c>
      <x:c r="I287" s="8" t="n">
        <x:v>0</x:v>
      </x:c>
      <x:c r="J287" s="8" t="n">
        <x:v>19</x:v>
      </x:c>
      <x:c r="K287" s="8" t="str">
        <x:v>["G114"]</x:v>
      </x:c>
      <x:c r="L287" s="8" t="str">
        <x:v>https://github.com/Sparkling-Flames/3D_Manhattan_label/blob/844a4694627e1eacc6bfb48911897335e48ecc17/data/mp3d_layout/valid/img/jtcxE69GiFV_666e7c94f27743a788c408a62c2c13f6.png</x:v>
      </x:c>
      <x:c r="M287" s="8" t="str">
        <x:v>jtcxE69GiFV_666e7c94f27743a788c408a62c2c13f6</x:v>
      </x:c>
    </x:row>
    <x:row r="288" ht="44" customHeight="1">
      <x:c r="A288" s="8" t="str">
        <x:v>jtcxE69GiFV</x:v>
      </x:c>
      <x:c r="B288" s="8" t="n">
        <x:v>17</x:v>
      </x:c>
      <x:c r="C288" s="8" t="str">
        <x:v>卧室</x:v>
      </x:c>
      <x:c r="D288" s="8" t="str">
        <x:v>早期争议复核导出.user_type</x:v>
      </x:c>
      <x:c r="E288" s="8" t="str">
        <x:v>卧室</x:v>
      </x:c>
      <x:c r="F288" s="8" t="str">
        <x:v>卧室</x:v>
      </x:c>
      <x:c r="G288" s="8" t="n">
        <x:v>1</x:v>
      </x:c>
      <x:c r="H288" s="8" t="n">
        <x:v>1</x:v>
      </x:c>
      <x:c r="I288" s="8" t="n">
        <x:v>0</x:v>
      </x:c>
      <x:c r="J288" s="8" t="n">
        <x:v>18</x:v>
      </x:c>
      <x:c r="K288" s="8" t="str">
        <x:v>["G109"]</x:v>
      </x:c>
      <x:c r="L288" s="8" t="str">
        <x:v>https://github.com/Sparkling-Flames/3D_Manhattan_label/blob/844a4694627e1eacc6bfb48911897335e48ecc17/data/mp3d_layout/valid/img/jtcxE69GiFV_6723e18211d244f8b17ced91aae64d99.png</x:v>
      </x:c>
      <x:c r="M288" s="8" t="str">
        <x:v>jtcxE69GiFV_6723e18211d244f8b17ced91aae64d99</x:v>
      </x:c>
    </x:row>
    <x:row r="289" ht="44" customHeight="1">
      <x:c r="A289" s="8" t="str">
        <x:v>jtcxE69GiFV</x:v>
      </x:c>
      <x:c r="B289" s="8" t="n">
        <x:v>18</x:v>
      </x:c>
      <x:c r="C289" s="8" t="str">
        <x:v>储藏与家务辅助</x:v>
      </x:c>
      <x:c r="D289" s="8" t="str">
        <x:v>早期争议复核导出.user_type</x:v>
      </x:c>
      <x:c r="E289" s="8" t="str">
        <x:v>储藏与家务辅助</x:v>
      </x:c>
      <x:c r="F289" s="8" t="str">
        <x:v>储藏与家务辅助</x:v>
      </x:c>
      <x:c r="G289" s="8" t="n">
        <x:v>4</x:v>
      </x:c>
      <x:c r="H289" s="8" t="n">
        <x:v>4</x:v>
      </x:c>
      <x:c r="I289" s="8" t="n">
        <x:v>0</x:v>
      </x:c>
      <x:c r="J289" s="8" t="n">
        <x:v>15</x:v>
      </x:c>
      <x:c r="K289" s="8" t="str">
        <x:v>["G115"]</x:v>
      </x:c>
      <x:c r="L289" s="8" t="str">
        <x:v>https://github.com/Sparkling-Flames/3D_Manhattan_label/blob/844a4694627e1eacc6bfb48911897335e48ecc17/data/mp3d_layout/valid/img/jtcxE69GiFV_67790605390f4d439c3c59395967ec84.png</x:v>
      </x:c>
      <x:c r="M289" s="8" t="str">
        <x:v>jtcxE69GiFV_67790605390f4d439c3c59395967ec84</x:v>
      </x:c>
    </x:row>
    <x:row r="290" ht="44" customHeight="1">
      <x:c r="A290" s="8" t="str">
        <x:v>jtcxE69GiFV</x:v>
      </x:c>
      <x:c r="B290" s="8" t="n">
        <x:v>19</x:v>
      </x:c>
      <x:c r="C290" s="8" t="str">
        <x:v>卧室</x:v>
      </x:c>
      <x:c r="D290" s="8" t="str">
        <x:v>早期争议复核导出.user_type</x:v>
      </x:c>
      <x:c r="E290" s="8" t="str">
        <x:v>卧室</x:v>
      </x:c>
      <x:c r="F290" s="8" t="str">
        <x:v>卧室</x:v>
      </x:c>
      <x:c r="G290" s="8" t="n">
        <x:v>0</x:v>
      </x:c>
      <x:c r="H290" s="8" t="n">
        <x:v>0</x:v>
      </x:c>
      <x:c r="I290" s="8" t="n">
        <x:v>0</x:v>
      </x:c>
      <x:c r="J290" s="8" t="n">
        <x:v>19</x:v>
      </x:c>
      <x:c r="K290" s="8" t="str">
        <x:v>["G116"]</x:v>
      </x:c>
      <x:c r="L290" s="8" t="str">
        <x:v>https://github.com/Sparkling-Flames/3D_Manhattan_label/blob/844a4694627e1eacc6bfb48911897335e48ecc17/data/mp3d_layout/valid/img/jtcxE69GiFV_7ca707708ef54c5bac2992d05d4f1408.png</x:v>
      </x:c>
      <x:c r="M290" s="8" t="str">
        <x:v>jtcxE69GiFV_7ca707708ef54c5bac2992d05d4f1408</x:v>
      </x:c>
    </x:row>
    <x:row r="291" ht="44" customHeight="1">
      <x:c r="A291" s="8" t="str">
        <x:v>jtcxE69GiFV</x:v>
      </x:c>
      <x:c r="B291" s="8" t="n">
        <x:v>20</x:v>
      </x:c>
      <x:c r="C291" s="8" t="str">
        <x:v>卧室</x:v>
      </x:c>
      <x:c r="D291" s="8" t="str">
        <x:v>早期争议复核导出.user_type</x:v>
      </x:c>
      <x:c r="E291" s="8" t="str">
        <x:v>卧室</x:v>
      </x:c>
      <x:c r="F291" s="8" t="str">
        <x:v>卧室</x:v>
      </x:c>
      <x:c r="G291" s="8" t="n">
        <x:v>0</x:v>
      </x:c>
      <x:c r="H291" s="8" t="n">
        <x:v>0</x:v>
      </x:c>
      <x:c r="I291" s="8" t="n">
        <x:v>0</x:v>
      </x:c>
      <x:c r="J291" s="8" t="n">
        <x:v>19</x:v>
      </x:c>
      <x:c r="K291" s="8" t="str">
        <x:v>["G109"]</x:v>
      </x:c>
      <x:c r="L291" s="8" t="str">
        <x:v>https://github.com/Sparkling-Flames/3D_Manhattan_label/blob/844a4694627e1eacc6bfb48911897335e48ecc17/data/mp3d_layout/valid/img/jtcxE69GiFV_87e96c5b923840bc8276d949ff157948.png</x:v>
      </x:c>
      <x:c r="M291" s="8" t="str">
        <x:v>jtcxE69GiFV_87e96c5b923840bc8276d949ff157948</x:v>
      </x:c>
    </x:row>
    <x:row r="292" ht="44" customHeight="1">
      <x:c r="A292" s="8" t="str">
        <x:v>jtcxE69GiFV</x:v>
      </x:c>
      <x:c r="B292" s="8" t="n">
        <x:v>21</x:v>
      </x:c>
      <x:c r="C292" s="8" t="str">
        <x:v>卧室</x:v>
      </x:c>
      <x:c r="D292" s="8" t="str">
        <x:v>早期争议复核导出.user_type</x:v>
      </x:c>
      <x:c r="E292" s="8" t="str">
        <x:v>卧室</x:v>
      </x:c>
      <x:c r="F292" s="8" t="str">
        <x:v>卧室</x:v>
      </x:c>
      <x:c r="G292" s="8" t="n">
        <x:v>0</x:v>
      </x:c>
      <x:c r="H292" s="8" t="n">
        <x:v>0</x:v>
      </x:c>
      <x:c r="I292" s="8" t="n">
        <x:v>0</x:v>
      </x:c>
      <x:c r="J292" s="8" t="n">
        <x:v>19</x:v>
      </x:c>
      <x:c r="K292" s="8" t="str">
        <x:v>["G114"]</x:v>
      </x:c>
      <x:c r="L292" s="8" t="str">
        <x:v>https://github.com/Sparkling-Flames/3D_Manhattan_label/blob/844a4694627e1eacc6bfb48911897335e48ecc17/data/mp3d_layout/valid/img/jtcxE69GiFV_8ff0fdd4091340d1a96431ecad7d1cfe.png</x:v>
      </x:c>
      <x:c r="M292" s="8" t="str">
        <x:v>jtcxE69GiFV_8ff0fdd4091340d1a96431ecad7d1cfe</x:v>
      </x:c>
    </x:row>
    <x:row r="293" ht="44" customHeight="1">
      <x:c r="A293" s="8" t="str">
        <x:v>jtcxE69GiFV</x:v>
      </x:c>
      <x:c r="B293" s="8" t="n">
        <x:v>22</x:v>
      </x:c>
      <x:c r="C293" s="8" t="str">
        <x:v>卧室</x:v>
      </x:c>
      <x:c r="D293" s="8" t="str">
        <x:v>早期争议复核导出.user_type</x:v>
      </x:c>
      <x:c r="E293" s="8" t="str">
        <x:v>卧室</x:v>
      </x:c>
      <x:c r="F293" s="8" t="str">
        <x:v>卧室</x:v>
      </x:c>
      <x:c r="G293" s="8" t="n">
        <x:v>2</x:v>
      </x:c>
      <x:c r="H293" s="8" t="n">
        <x:v>2</x:v>
      </x:c>
      <x:c r="I293" s="8" t="n">
        <x:v>0</x:v>
      </x:c>
      <x:c r="J293" s="8" t="n">
        <x:v>17</x:v>
      </x:c>
      <x:c r="K293" s="8" t="str">
        <x:v>["G114"]</x:v>
      </x:c>
      <x:c r="L293" s="8" t="str">
        <x:v>https://github.com/Sparkling-Flames/3D_Manhattan_label/blob/844a4694627e1eacc6bfb48911897335e48ecc17/data/mp3d_layout/valid/img/jtcxE69GiFV_9f0e2562fcf447f5a7c5e44e85978148.png</x:v>
      </x:c>
      <x:c r="M293" s="8" t="str">
        <x:v>jtcxE69GiFV_9f0e2562fcf447f5a7c5e44e85978148</x:v>
      </x:c>
    </x:row>
    <x:row r="294" ht="44" customHeight="1">
      <x:c r="A294" s="8" t="str">
        <x:v>jtcxE69GiFV</x:v>
      </x:c>
      <x:c r="B294" s="8" t="n">
        <x:v>23</x:v>
      </x:c>
      <x:c r="C294" s="8" t="str">
        <x:v>卧室</x:v>
      </x:c>
      <x:c r="D294" s="8" t="str">
        <x:v>早期争议复核导出.user_type</x:v>
      </x:c>
      <x:c r="E294" s="8" t="str">
        <x:v>卧室</x:v>
      </x:c>
      <x:c r="F294" s="8" t="str">
        <x:v>卧室</x:v>
      </x:c>
      <x:c r="G294" s="8" t="n">
        <x:v>1</x:v>
      </x:c>
      <x:c r="H294" s="8" t="n">
        <x:v>1</x:v>
      </x:c>
      <x:c r="I294" s="8" t="n">
        <x:v>0</x:v>
      </x:c>
      <x:c r="J294" s="8" t="n">
        <x:v>18</x:v>
      </x:c>
      <x:c r="K294" s="8" t="str">
        <x:v>["G114"]</x:v>
      </x:c>
      <x:c r="L294" s="8" t="str">
        <x:v>https://github.com/Sparkling-Flames/3D_Manhattan_label/blob/844a4694627e1eacc6bfb48911897335e48ecc17/data/mp3d_layout/valid/img/jtcxE69GiFV_a197694b62d249968f88ae32a1b49d10.png</x:v>
      </x:c>
      <x:c r="M294" s="8" t="str">
        <x:v>jtcxE69GiFV_a197694b62d249968f88ae32a1b49d10</x:v>
      </x:c>
    </x:row>
    <x:row r="295" ht="44" customHeight="1">
      <x:c r="A295" s="8" t="str">
        <x:v>jtcxE69GiFV</x:v>
      </x:c>
      <x:c r="B295" s="8" t="n">
        <x:v>24</x:v>
      </x:c>
      <x:c r="C295" s="8" t="str">
        <x:v>厨房与用餐</x:v>
      </x:c>
      <x:c r="D295" s="8" t="str">
        <x:v>早期争议复核导出.user_type</x:v>
      </x:c>
      <x:c r="E295" s="8" t="str">
        <x:v>厨房与用餐</x:v>
      </x:c>
      <x:c r="F295" s="8" t="str">
        <x:v>厨房与用餐</x:v>
      </x:c>
      <x:c r="G295" s="8" t="n">
        <x:v>0</x:v>
      </x:c>
      <x:c r="H295" s="8" t="n">
        <x:v>0</x:v>
      </x:c>
      <x:c r="I295" s="8" t="n">
        <x:v>0</x:v>
      </x:c>
      <x:c r="J295" s="8" t="n">
        <x:v>19</x:v>
      </x:c>
      <x:c r="K295" s="8" t="str">
        <x:v>["G110"]</x:v>
      </x:c>
      <x:c r="L295" s="8" t="str">
        <x:v>https://github.com/Sparkling-Flames/3D_Manhattan_label/blob/844a4694627e1eacc6bfb48911897335e48ecc17/data/mp3d_layout/valid/img/jtcxE69GiFV_aaa3143c2ccb4ba4b51a472b48f5e260.png</x:v>
      </x:c>
      <x:c r="M295" s="8" t="str">
        <x:v>jtcxE69GiFV_aaa3143c2ccb4ba4b51a472b48f5e260</x:v>
      </x:c>
    </x:row>
    <x:row r="296" ht="44" customHeight="1">
      <x:c r="A296" s="8" t="str">
        <x:v>jtcxE69GiFV</x:v>
      </x:c>
      <x:c r="B296" s="8" t="n">
        <x:v>25</x:v>
      </x:c>
      <x:c r="C296" s="8" t="str">
        <x:v>起居与休闲</x:v>
      </x:c>
      <x:c r="D296" s="8" t="str">
        <x:v>早期争议复核导出.user_type</x:v>
      </x:c>
      <x:c r="E296" s="8" t="str">
        <x:v>客厅</x:v>
      </x:c>
      <x:c r="F296" s="8" t="str">
        <x:v>起居与休闲</x:v>
      </x:c>
      <x:c r="G296" s="8" t="n">
        <x:v>0</x:v>
      </x:c>
      <x:c r="H296" s="8" t="n">
        <x:v>0</x:v>
      </x:c>
      <x:c r="I296" s="8" t="n">
        <x:v>0</x:v>
      </x:c>
      <x:c r="J296" s="8" t="n">
        <x:v>19</x:v>
      </x:c>
      <x:c r="K296" s="8" t="str">
        <x:v>["G117"]</x:v>
      </x:c>
      <x:c r="L296" s="8" t="str">
        <x:v>https://github.com/Sparkling-Flames/3D_Manhattan_label/blob/844a4694627e1eacc6bfb48911897335e48ecc17/data/mp3d_layout/valid/img/jtcxE69GiFV_c6baa663ada7439f9a409a86c7fd809b.png</x:v>
      </x:c>
      <x:c r="M296" s="8" t="str">
        <x:v>jtcxE69GiFV_c6baa663ada7439f9a409a86c7fd809b</x:v>
      </x:c>
    </x:row>
    <x:row r="297" ht="44" customHeight="1">
      <x:c r="A297" s="8" t="str">
        <x:v>jtcxE69GiFV</x:v>
      </x:c>
      <x:c r="B297" s="8" t="n">
        <x:v>26</x:v>
      </x:c>
      <x:c r="C297" s="8" t="str">
        <x:v>起居与休闲</x:v>
      </x:c>
      <x:c r="D297" s="8" t="str">
        <x:v>早期争议复核导出.user_type</x:v>
      </x:c>
      <x:c r="E297" s="8" t="str">
        <x:v>客厅</x:v>
      </x:c>
      <x:c r="F297" s="8" t="str">
        <x:v>起居与休闲</x:v>
      </x:c>
      <x:c r="G297" s="8" t="n">
        <x:v>4</x:v>
      </x:c>
      <x:c r="H297" s="8" t="n">
        <x:v>4</x:v>
      </x:c>
      <x:c r="I297" s="8" t="n">
        <x:v>0</x:v>
      </x:c>
      <x:c r="J297" s="8" t="n">
        <x:v>15</x:v>
      </x:c>
      <x:c r="K297" s="8" t="str">
        <x:v>["G117"]</x:v>
      </x:c>
      <x:c r="L297" s="8" t="str">
        <x:v>https://github.com/Sparkling-Flames/3D_Manhattan_label/blob/844a4694627e1eacc6bfb48911897335e48ecc17/data/mp3d_layout/valid/img/jtcxE69GiFV_c90412ad99334d3aa7a1ec74d8e543a1.png</x:v>
      </x:c>
      <x:c r="M297" s="8" t="str">
        <x:v>jtcxE69GiFV_c90412ad99334d3aa7a1ec74d8e543a1</x:v>
      </x:c>
    </x:row>
    <x:row r="298" ht="44" customHeight="1">
      <x:c r="A298" s="8" t="str">
        <x:v>jtcxE69GiFV</x:v>
      </x:c>
      <x:c r="B298" s="8" t="n">
        <x:v>27</x:v>
      </x:c>
      <x:c r="C298" s="8" t="str">
        <x:v>通行与连接</x:v>
      </x:c>
      <x:c r="D298" s="8" t="str">
        <x:v>早期争议复核导出.user_type</x:v>
      </x:c>
      <x:c r="E298" s="8" t="str">
        <x:v>通行与连接</x:v>
      </x:c>
      <x:c r="F298" s="8" t="str">
        <x:v>通行与连接</x:v>
      </x:c>
      <x:c r="G298" s="8" t="n">
        <x:v>0</x:v>
      </x:c>
      <x:c r="H298" s="8" t="n">
        <x:v>0</x:v>
      </x:c>
      <x:c r="I298" s="8" t="n">
        <x:v>0</x:v>
      </x:c>
      <x:c r="J298" s="8" t="n">
        <x:v>19</x:v>
      </x:c>
      <x:c r="K298" s="8" t="str">
        <x:v>["G118"]</x:v>
      </x:c>
      <x:c r="L298" s="8" t="str">
        <x:v>https://github.com/Sparkling-Flames/3D_Manhattan_label/blob/844a4694627e1eacc6bfb48911897335e48ecc17/data/mp3d_layout/valid/img/jtcxE69GiFV_d972562e44f44b4db2a197310dc6113f.png</x:v>
      </x:c>
      <x:c r="M298" s="8" t="str">
        <x:v>jtcxE69GiFV_d972562e44f44b4db2a197310dc6113f</x:v>
      </x:c>
    </x:row>
    <x:row r="299" ht="44" customHeight="1">
      <x:c r="A299" s="8" t="str">
        <x:v>jtcxE69GiFV</x:v>
      </x:c>
      <x:c r="B299" s="8" t="n">
        <x:v>28</x:v>
      </x:c>
      <x:c r="C299" s="8" t="str">
        <x:v>起居与休闲</x:v>
      </x:c>
      <x:c r="D299" s="8" t="str">
        <x:v>早期争议复核导出.user_type</x:v>
      </x:c>
      <x:c r="E299" s="8" t="str">
        <x:v>客厅</x:v>
      </x:c>
      <x:c r="F299" s="8" t="str">
        <x:v>起居与休闲</x:v>
      </x:c>
      <x:c r="G299" s="8" t="n">
        <x:v>4</x:v>
      </x:c>
      <x:c r="H299" s="8" t="n">
        <x:v>4</x:v>
      </x:c>
      <x:c r="I299" s="8" t="n">
        <x:v>0</x:v>
      </x:c>
      <x:c r="J299" s="8" t="n">
        <x:v>15</x:v>
      </x:c>
      <x:c r="K299" s="8" t="str">
        <x:v>["G117"]</x:v>
      </x:c>
      <x:c r="L299" s="8" t="str">
        <x:v>https://github.com/Sparkling-Flames/3D_Manhattan_label/blob/844a4694627e1eacc6bfb48911897335e48ecc17/data/mp3d_layout/valid/img/jtcxE69GiFV_dce110162b244b2ab76a0804fc830a9e.png</x:v>
      </x:c>
      <x:c r="M299" s="8" t="str">
        <x:v>jtcxE69GiFV_dce110162b244b2ab76a0804fc830a9e</x:v>
      </x:c>
    </x:row>
    <x:row r="300" ht="44" customHeight="1">
      <x:c r="A300" s="8" t="str">
        <x:v>jtcxE69GiFV</x:v>
      </x:c>
      <x:c r="B300" s="8" t="n">
        <x:v>29</x:v>
      </x:c>
      <x:c r="C300" s="8" t="str">
        <x:v>起居与休闲</x:v>
      </x:c>
      <x:c r="D300" s="8" t="str">
        <x:v>早期争议复核导出.user_type</x:v>
      </x:c>
      <x:c r="E300" s="8" t="str">
        <x:v>起居与休闲</x:v>
      </x:c>
      <x:c r="F300" s="8" t="str">
        <x:v>起居与休闲</x:v>
      </x:c>
      <x:c r="G300" s="8" t="n">
        <x:v>0</x:v>
      </x:c>
      <x:c r="H300" s="8" t="n">
        <x:v>0</x:v>
      </x:c>
      <x:c r="I300" s="8" t="n">
        <x:v>0</x:v>
      </x:c>
      <x:c r="J300" s="8" t="n">
        <x:v>19</x:v>
      </x:c>
      <x:c r="K300" s="8" t="str">
        <x:v>[]</x:v>
      </x:c>
      <x:c r="L300" s="8" t="str">
        <x:v>https://github.com/Sparkling-Flames/3D_Manhattan_label/blob/844a4694627e1eacc6bfb48911897335e48ecc17/data/mp3d_layout/valid/img/jtcxE69GiFV_eb93e479aeae4b59a26c3ea106f9be7a.png</x:v>
      </x:c>
      <x:c r="M300" s="8" t="str">
        <x:v>jtcxE69GiFV_eb93e479aeae4b59a26c3ea106f9be7a</x:v>
      </x:c>
    </x:row>
    <x:row r="301" ht="44" customHeight="1">
      <x:c r="A301" s="8" t="str">
        <x:v>jtcxE69GiFV</x:v>
      </x:c>
      <x:c r="B301" s="8" t="n">
        <x:v>30</x:v>
      </x:c>
      <x:c r="C301" s="8" t="str">
        <x:v>通行与连接</x:v>
      </x:c>
      <x:c r="D301" s="8" t="str">
        <x:v>早期争议复核导出.user_type</x:v>
      </x:c>
      <x:c r="E301" s="8" t="str">
        <x:v>通行与连接</x:v>
      </x:c>
      <x:c r="F301" s="8" t="str">
        <x:v>通行与连接</x:v>
      </x:c>
      <x:c r="G301" s="8" t="n">
        <x:v>1</x:v>
      </x:c>
      <x:c r="H301" s="8" t="n">
        <x:v>1</x:v>
      </x:c>
      <x:c r="I301" s="8" t="n">
        <x:v>0</x:v>
      </x:c>
      <x:c r="J301" s="8" t="n">
        <x:v>18</x:v>
      </x:c>
      <x:c r="K301" s="8" t="str">
        <x:v>["G113", "G118"]</x:v>
      </x:c>
      <x:c r="L301" s="8" t="str">
        <x:v>https://github.com/Sparkling-Flames/3D_Manhattan_label/blob/844a4694627e1eacc6bfb48911897335e48ecc17/data/mp3d_layout/valid/img/jtcxE69GiFV_f473cf5a09a64090acec3bfe8fccaacd.png</x:v>
      </x:c>
      <x:c r="M301" s="8" t="str">
        <x:v>jtcxE69GiFV_f473cf5a09a64090acec3bfe8fccaacd</x:v>
      </x:c>
    </x:row>
    <x:row r="302" ht="44" customHeight="1">
      <x:c r="A302" s="8" t="str">
        <x:v>jtcxE69GiFV</x:v>
      </x:c>
      <x:c r="B302" s="8" t="n">
        <x:v>31</x:v>
      </x:c>
      <x:c r="C302" s="8" t="str">
        <x:v>卧室</x:v>
      </x:c>
      <x:c r="D302" s="8" t="str">
        <x:v>早期争议复核导出.user_type</x:v>
      </x:c>
      <x:c r="E302" s="8" t="str">
        <x:v>卧室</x:v>
      </x:c>
      <x:c r="F302" s="8" t="str">
        <x:v>卧室</x:v>
      </x:c>
      <x:c r="G302" s="8" t="n">
        <x:v>1</x:v>
      </x:c>
      <x:c r="H302" s="8" t="n">
        <x:v>1</x:v>
      </x:c>
      <x:c r="I302" s="8" t="n">
        <x:v>0</x:v>
      </x:c>
      <x:c r="J302" s="8" t="n">
        <x:v>18</x:v>
      </x:c>
      <x:c r="K302" s="8" t="str">
        <x:v>["G116"]</x:v>
      </x:c>
      <x:c r="L302" s="8" t="str">
        <x:v>https://github.com/Sparkling-Flames/3D_Manhattan_label/blob/844a4694627e1eacc6bfb48911897335e48ecc17/data/mp3d_layout/valid/img/jtcxE69GiFV_f4dc4040df5a4f038dd2b35f2bb65266.png</x:v>
      </x:c>
      <x:c r="M302" s="8" t="str">
        <x:v>jtcxE69GiFV_f4dc4040df5a4f038dd2b35f2bb65266</x:v>
      </x:c>
    </x:row>
    <x:row r="303" ht="44" customHeight="1">
      <x:c r="A303" s="8" t="str">
        <x:v>jtcxE69GiFV</x:v>
      </x:c>
      <x:c r="B303" s="8" t="n">
        <x:v>32</x:v>
      </x:c>
      <x:c r="C303" s="8" t="str">
        <x:v>储藏与家务辅助</x:v>
      </x:c>
      <x:c r="D303" s="8" t="str">
        <x:v>早期争议复核导出.user_type</x:v>
      </x:c>
      <x:c r="E303" s="8" t="str">
        <x:v>储藏与家务辅助</x:v>
      </x:c>
      <x:c r="F303" s="8" t="str">
        <x:v>储藏与家务辅助</x:v>
      </x:c>
      <x:c r="G303" s="8" t="n">
        <x:v>0</x:v>
      </x:c>
      <x:c r="H303" s="8" t="n">
        <x:v>0</x:v>
      </x:c>
      <x:c r="I303" s="8" t="n">
        <x:v>0</x:v>
      </x:c>
      <x:c r="J303" s="8" t="n">
        <x:v>19</x:v>
      </x:c>
      <x:c r="K303" s="8" t="str">
        <x:v>["G115"]</x:v>
      </x:c>
      <x:c r="L303" s="8" t="str">
        <x:v>https://github.com/Sparkling-Flames/3D_Manhattan_label/blob/844a4694627e1eacc6bfb48911897335e48ecc17/data/mp3d_layout/valid/img/jtcxE69GiFV_fb1ac7e96b884d289aff3fe02bb3c248.png</x:v>
      </x:c>
      <x:c r="M303" s="8" t="str">
        <x:v>jtcxE69GiFV_fb1ac7e96b884d289aff3fe02bb3c248</x:v>
      </x:c>
    </x:row>
    <x:row r="304" ht="44" customHeight="1">
      <x:c r="A304" s="8" t="str">
        <x:v>jtcxE69GiFV</x:v>
      </x:c>
      <x:c r="B304" s="8" t="n">
        <x:v>33</x:v>
      </x:c>
      <x:c r="C304" s="8" t="str">
        <x:v>卧室</x:v>
      </x:c>
      <x:c r="D304" s="8" t="str">
        <x:v>早期争议复核导出.user_type</x:v>
      </x:c>
      <x:c r="E304" s="8" t="str">
        <x:v>卧室</x:v>
      </x:c>
      <x:c r="F304" s="8" t="str">
        <x:v>卧室</x:v>
      </x:c>
      <x:c r="G304" s="8" t="n">
        <x:v>0</x:v>
      </x:c>
      <x:c r="H304" s="8" t="n">
        <x:v>0</x:v>
      </x:c>
      <x:c r="I304" s="8" t="n">
        <x:v>0</x:v>
      </x:c>
      <x:c r="J304" s="8" t="n">
        <x:v>19</x:v>
      </x:c>
      <x:c r="K304" s="8" t="str">
        <x:v>["G109"]</x:v>
      </x:c>
      <x:c r="L304" s="8" t="str">
        <x:v>https://github.com/Sparkling-Flames/3D_Manhattan_label/blob/844a4694627e1eacc6bfb48911897335e48ecc17/data/mp3d_layout/valid/img/jtcxE69GiFV_fb7f2438518243b180ae78cf1e2737e3.png</x:v>
      </x:c>
      <x:c r="M304" s="8" t="str">
        <x:v>jtcxE69GiFV_fb7f2438518243b180ae78cf1e2737e3</x:v>
      </x:c>
    </x:row>
    <x:row r="305" ht="44" customHeight="1">
      <x:c r="A305" s="8" t="str">
        <x:v>jtcxE69GiFV</x:v>
      </x:c>
      <x:c r="B305" s="8" t="n">
        <x:v>34</x:v>
      </x:c>
      <x:c r="C305" s="8" t="str">
        <x:v>开放复合空间</x:v>
      </x:c>
      <x:c r="D305" s="8" t="str">
        <x:v>后续41图亲审.current_classification.coarse_type</x:v>
      </x:c>
      <x:c r="E305" s="8" t="str">
        <x:v>复合／待定</x:v>
      </x:c>
      <x:c r="F305" s="8" t="str">
        <x:v>开放复合空间</x:v>
      </x:c>
      <x:c r="G305" s="8" t="n">
        <x:v>0</x:v>
      </x:c>
      <x:c r="H305" s="8" t="n">
        <x:v>0</x:v>
      </x:c>
      <x:c r="I305" s="8" t="n">
        <x:v>0</x:v>
      </x:c>
      <x:c r="J305" s="8" t="n">
        <x:v>19</x:v>
      </x:c>
      <x:c r="K305" s="8" t="str">
        <x:v>[]</x:v>
      </x:c>
      <x:c r="L305" s="8" t="str">
        <x:v>https://github.com/Sparkling-Flames/3D_Manhattan_label/blob/844a4694627e1eacc6bfb48911897335e48ecc17/data/mp3d_layout/valid/img/jtcxE69GiFV_ff6cc28d8a7049ec980d1d52480530b5.png</x:v>
      </x:c>
      <x:c r="M305" s="8" t="str">
        <x:v>jtcxE69GiFV_ff6cc28d8a7049ec980d1d52480530b5</x:v>
      </x:c>
    </x:row>
    <x:row r="306" ht="44" customHeight="1">
      <x:c r="A306" s="8" t="str">
        <x:v>kEZ7cmS4wCh</x:v>
      </x:c>
      <x:c r="B306" s="8" t="n">
        <x:v>1</x:v>
      </x:c>
      <x:c r="C306" s="8" t="str">
        <x:v>通行与连接</x:v>
      </x:c>
      <x:c r="D306" s="8" t="str">
        <x:v>早期争议复核导出.user_type</x:v>
      </x:c>
      <x:c r="E306" s="8" t="str">
        <x:v>通行与连接</x:v>
      </x:c>
      <x:c r="F306" s="8" t="str">
        <x:v>通行与连接</x:v>
      </x:c>
      <x:c r="G306" s="8" t="n">
        <x:v>0</x:v>
      </x:c>
      <x:c r="H306" s="8" t="n">
        <x:v>0</x:v>
      </x:c>
      <x:c r="I306" s="8" t="n">
        <x:v>0</x:v>
      </x:c>
      <x:c r="J306" s="8" t="n">
        <x:v>19</x:v>
      </x:c>
      <x:c r="K306" s="8" t="str">
        <x:v>["G119"]</x:v>
      </x:c>
      <x:c r="L306" s="8" t="str">
        <x:v>https://github.com/Sparkling-Flames/3D_Manhattan_label/blob/844a4694627e1eacc6bfb48911897335e48ecc17/data/mp3d_layout/test/img/kEZ7cmS4wCh_3c4a8eb4ef504942b6df1937932aa3f2.png</x:v>
      </x:c>
      <x:c r="M306" s="8" t="str">
        <x:v>kEZ7cmS4wCh_3c4a8eb4ef504942b6df1937932aa3f2</x:v>
      </x:c>
    </x:row>
    <x:row r="307" ht="44" customHeight="1">
      <x:c r="A307" s="8" t="str">
        <x:v>kEZ7cmS4wCh</x:v>
      </x:c>
      <x:c r="B307" s="8" t="n">
        <x:v>2</x:v>
      </x:c>
      <x:c r="C307" s="8" t="str">
        <x:v>通行与连接</x:v>
      </x:c>
      <x:c r="D307" s="8" t="str">
        <x:v>早期争议复核导出.user_type</x:v>
      </x:c>
      <x:c r="E307" s="8" t="str">
        <x:v>通行与连接</x:v>
      </x:c>
      <x:c r="F307" s="8" t="str">
        <x:v>通行与连接</x:v>
      </x:c>
      <x:c r="G307" s="8" t="n">
        <x:v>0</x:v>
      </x:c>
      <x:c r="H307" s="8" t="n">
        <x:v>0</x:v>
      </x:c>
      <x:c r="I307" s="8" t="n">
        <x:v>0</x:v>
      </x:c>
      <x:c r="J307" s="8" t="n">
        <x:v>19</x:v>
      </x:c>
      <x:c r="K307" s="8" t="str">
        <x:v>["G119"]</x:v>
      </x:c>
      <x:c r="L307" s="8" t="str">
        <x:v>https://github.com/Sparkling-Flames/3D_Manhattan_label/blob/844a4694627e1eacc6bfb48911897335e48ecc17/data/mp3d_layout/test/img/kEZ7cmS4wCh_6811d52593b740cb9047202ce1e8a1e4.png</x:v>
      </x:c>
      <x:c r="M307" s="8" t="str">
        <x:v>kEZ7cmS4wCh_6811d52593b740cb9047202ce1e8a1e4</x:v>
      </x:c>
    </x:row>
    <x:row r="308" ht="44" customHeight="1">
      <x:c r="A308" s="8" t="str">
        <x:v>pRbA3pwrgk9</x:v>
      </x:c>
      <x:c r="B308" s="8" t="n">
        <x:v>1</x:v>
      </x:c>
      <x:c r="C308" s="8" t="str">
        <x:v>卫浴</x:v>
      </x:c>
      <x:c r="D308" s="8" t="str">
        <x:v>早期争议复核导出.user_type</x:v>
      </x:c>
      <x:c r="E308" s="8" t="str">
        <x:v>卫浴</x:v>
      </x:c>
      <x:c r="F308" s="8" t="str">
        <x:v>卫浴</x:v>
      </x:c>
      <x:c r="G308" s="8" t="n">
        <x:v>3</x:v>
      </x:c>
      <x:c r="H308" s="8" t="n">
        <x:v>2</x:v>
      </x:c>
      <x:c r="I308" s="8" t="n">
        <x:v>0</x:v>
      </x:c>
      <x:c r="J308" s="8" t="n">
        <x:v>17</x:v>
      </x:c>
      <x:c r="K308" s="8" t="str">
        <x:v>["G120", "G121"]</x:v>
      </x:c>
      <x:c r="L308" s="8" t="str">
        <x:v>https://github.com/Sparkling-Flames/3D_Manhattan_label/blob/844a4694627e1eacc6bfb48911897335e48ecc17/data/mp3d_layout/valid/img/pRbA3pwrgk9_0350fc96e88c4a52886d4eb50b2d52c6.png</x:v>
      </x:c>
      <x:c r="M308" s="8" t="str">
        <x:v>pRbA3pwrgk9_0350fc96e88c4a52886d4eb50b2d52c6</x:v>
      </x:c>
    </x:row>
    <x:row r="309" ht="44" customHeight="1">
      <x:c r="A309" s="8" t="str">
        <x:v>pRbA3pwrgk9</x:v>
      </x:c>
      <x:c r="B309" s="8" t="n">
        <x:v>2</x:v>
      </x:c>
      <x:c r="C309" s="8" t="str">
        <x:v>卫浴</x:v>
      </x:c>
      <x:c r="D309" s="8" t="str">
        <x:v>早期争议复核导出.user_type</x:v>
      </x:c>
      <x:c r="E309" s="8" t="str">
        <x:v>卫浴</x:v>
      </x:c>
      <x:c r="F309" s="8" t="str">
        <x:v>卫浴</x:v>
      </x:c>
      <x:c r="G309" s="8" t="n">
        <x:v>6</x:v>
      </x:c>
      <x:c r="H309" s="8" t="n">
        <x:v>6</x:v>
      </x:c>
      <x:c r="I309" s="8" t="n">
        <x:v>0</x:v>
      </x:c>
      <x:c r="J309" s="8" t="n">
        <x:v>13</x:v>
      </x:c>
      <x:c r="K309" s="8" t="str">
        <x:v>["G122"]</x:v>
      </x:c>
      <x:c r="L309" s="8" t="str">
        <x:v>https://github.com/Sparkling-Flames/3D_Manhattan_label/blob/844a4694627e1eacc6bfb48911897335e48ecc17/data/mp3d_layout/valid/img/pRbA3pwrgk9_03de6e2562bb4f56a88db3ceb681af78.png</x:v>
      </x:c>
      <x:c r="M309" s="8" t="str">
        <x:v>pRbA3pwrgk9_03de6e2562bb4f56a88db3ceb681af78</x:v>
      </x:c>
    </x:row>
    <x:row r="310" ht="44" customHeight="1">
      <x:c r="A310" s="8" t="str">
        <x:v>pRbA3pwrgk9</x:v>
      </x:c>
      <x:c r="B310" s="8" t="n">
        <x:v>3</x:v>
      </x:c>
      <x:c r="C310" s="8" t="str">
        <x:v>待拆解(null)</x:v>
      </x:c>
      <x:c r="D310" s="8" t="str">
        <x:v>早期争议复核导出.user_type</x:v>
      </x:c>
      <x:c r="E310" s="8" t="str">
        <x:v>复合／待定   像是连通的走廊空间这种</x:v>
      </x:c>
      <x:c r="F310" s="8" t="str">
        <x:v>通行与连接</x:v>
      </x:c>
      <x:c r="G310" s="8" t="n">
        <x:v>0</x:v>
      </x:c>
      <x:c r="H310" s="8" t="n">
        <x:v>0</x:v>
      </x:c>
      <x:c r="I310" s="8" t="n">
        <x:v>0</x:v>
      </x:c>
      <x:c r="J310" s="8" t="n">
        <x:v>19</x:v>
      </x:c>
      <x:c r="K310" s="8" t="str">
        <x:v>["G123"]</x:v>
      </x:c>
      <x:c r="L310" s="8" t="str">
        <x:v>https://github.com/Sparkling-Flames/3D_Manhattan_label/blob/844a4694627e1eacc6bfb48911897335e48ecc17/data/mp3d_layout/valid/img/pRbA3pwrgk9_05c49a8b61034633ad57ae3527dac65d.png</x:v>
      </x:c>
      <x:c r="M310" s="8" t="str">
        <x:v>pRbA3pwrgk9_05c49a8b61034633ad57ae3527dac65d</x:v>
      </x:c>
    </x:row>
    <x:row r="311" ht="44" customHeight="1">
      <x:c r="A311" s="8" t="str">
        <x:v>pRbA3pwrgk9</x:v>
      </x:c>
      <x:c r="B311" s="8" t="n">
        <x:v>4</x:v>
      </x:c>
      <x:c r="C311" s="8" t="str">
        <x:v>卧室</x:v>
      </x:c>
      <x:c r="D311" s="8" t="str">
        <x:v>早期争议复核导出.user_type</x:v>
      </x:c>
      <x:c r="E311" s="8" t="str">
        <x:v>卧室</x:v>
      </x:c>
      <x:c r="F311" s="8" t="str">
        <x:v>卧室</x:v>
      </x:c>
      <x:c r="G311" s="8" t="n">
        <x:v>1</x:v>
      </x:c>
      <x:c r="H311" s="8" t="n">
        <x:v>1</x:v>
      </x:c>
      <x:c r="I311" s="8" t="n">
        <x:v>0</x:v>
      </x:c>
      <x:c r="J311" s="8" t="n">
        <x:v>18</x:v>
      </x:c>
      <x:c r="K311" s="8" t="str">
        <x:v>["G124"]</x:v>
      </x:c>
      <x:c r="L311" s="8" t="str">
        <x:v>https://github.com/Sparkling-Flames/3D_Manhattan_label/blob/844a4694627e1eacc6bfb48911897335e48ecc17/data/mp3d_layout/valid/img/pRbA3pwrgk9_0dad4bd3fa7e4349a5325596c10d6fdf.png</x:v>
      </x:c>
      <x:c r="M311" s="8" t="str">
        <x:v>pRbA3pwrgk9_0dad4bd3fa7e4349a5325596c10d6fdf</x:v>
      </x:c>
    </x:row>
    <x:row r="312" ht="44" customHeight="1">
      <x:c r="A312" s="8" t="str">
        <x:v>pRbA3pwrgk9</x:v>
      </x:c>
      <x:c r="B312" s="8" t="n">
        <x:v>5</x:v>
      </x:c>
      <x:c r="C312" s="8" t="str">
        <x:v>储藏与家务辅助</x:v>
      </x:c>
      <x:c r="D312" s="8" t="str">
        <x:v>早期争议复核导出.user_type</x:v>
      </x:c>
      <x:c r="E312" s="8" t="str">
        <x:v>储藏与家务辅助</x:v>
      </x:c>
      <x:c r="F312" s="8" t="str">
        <x:v>储藏与家务辅助</x:v>
      </x:c>
      <x:c r="G312" s="8" t="n">
        <x:v>2</x:v>
      </x:c>
      <x:c r="H312" s="8" t="n">
        <x:v>2</x:v>
      </x:c>
      <x:c r="I312" s="8" t="n">
        <x:v>0</x:v>
      </x:c>
      <x:c r="J312" s="8" t="n">
        <x:v>17</x:v>
      </x:c>
      <x:c r="K312" s="8" t="str">
        <x:v>["G125", "G126"]</x:v>
      </x:c>
      <x:c r="L312" s="8" t="str">
        <x:v>https://github.com/Sparkling-Flames/3D_Manhattan_label/blob/844a4694627e1eacc6bfb48911897335e48ecc17/data/mp3d_layout/valid/img/pRbA3pwrgk9_16beb21e65a84850a509972190038d0e.png</x:v>
      </x:c>
      <x:c r="M312" s="8" t="str">
        <x:v>pRbA3pwrgk9_16beb21e65a84850a509972190038d0e</x:v>
      </x:c>
    </x:row>
    <x:row r="313" ht="44" customHeight="1">
      <x:c r="A313" s="8" t="str">
        <x:v>pRbA3pwrgk9</x:v>
      </x:c>
      <x:c r="B313" s="8" t="n">
        <x:v>6</x:v>
      </x:c>
      <x:c r="C313" s="8" t="str">
        <x:v>卧室</x:v>
      </x:c>
      <x:c r="D313" s="8" t="str">
        <x:v>早期争议复核导出.user_type</x:v>
      </x:c>
      <x:c r="E313" s="8" t="str">
        <x:v>卧室</x:v>
      </x:c>
      <x:c r="F313" s="8" t="str">
        <x:v>卧室</x:v>
      </x:c>
      <x:c r="G313" s="8" t="n">
        <x:v>3</x:v>
      </x:c>
      <x:c r="H313" s="8" t="n">
        <x:v>3</x:v>
      </x:c>
      <x:c r="I313" s="8" t="n">
        <x:v>0</x:v>
      </x:c>
      <x:c r="J313" s="8" t="n">
        <x:v>16</x:v>
      </x:c>
      <x:c r="K313" s="8" t="str">
        <x:v>["G124"]</x:v>
      </x:c>
      <x:c r="L313" s="8" t="str">
        <x:v>https://github.com/Sparkling-Flames/3D_Manhattan_label/blob/844a4694627e1eacc6bfb48911897335e48ecc17/data/mp3d_layout/valid/img/pRbA3pwrgk9_285b697fed754f86a09602c93628cfb4.png</x:v>
      </x:c>
      <x:c r="M313" s="8" t="str">
        <x:v>pRbA3pwrgk9_285b697fed754f86a09602c93628cfb4</x:v>
      </x:c>
    </x:row>
    <x:row r="314" ht="44" customHeight="1">
      <x:c r="A314" s="8" t="str">
        <x:v>pRbA3pwrgk9</x:v>
      </x:c>
      <x:c r="B314" s="8" t="n">
        <x:v>7</x:v>
      </x:c>
      <x:c r="C314" s="8" t="str">
        <x:v>通行与连接</x:v>
      </x:c>
      <x:c r="D314" s="8" t="str">
        <x:v>早期争议复核导出.user_type</x:v>
      </x:c>
      <x:c r="E314" s="8" t="str">
        <x:v>通行与连接</x:v>
      </x:c>
      <x:c r="F314" s="8" t="str">
        <x:v>通行与连接</x:v>
      </x:c>
      <x:c r="G314" s="8" t="n">
        <x:v>5</x:v>
      </x:c>
      <x:c r="H314" s="8" t="n">
        <x:v>5</x:v>
      </x:c>
      <x:c r="I314" s="8" t="n">
        <x:v>0</x:v>
      </x:c>
      <x:c r="J314" s="8" t="n">
        <x:v>14</x:v>
      </x:c>
      <x:c r="K314" s="8" t="str">
        <x:v>[]</x:v>
      </x:c>
      <x:c r="L314" s="8" t="str">
        <x:v>https://github.com/Sparkling-Flames/3D_Manhattan_label/blob/844a4694627e1eacc6bfb48911897335e48ecc17/data/mp3d_layout/valid/img/pRbA3pwrgk9_2a3810bc7ecc491e81ff1e8a17692ec1.png</x:v>
      </x:c>
      <x:c r="M314" s="8" t="str">
        <x:v>pRbA3pwrgk9_2a3810bc7ecc491e81ff1e8a17692ec1</x:v>
      </x:c>
    </x:row>
    <x:row r="315" ht="44" customHeight="1">
      <x:c r="A315" s="8" t="str">
        <x:v>pRbA3pwrgk9</x:v>
      </x:c>
      <x:c r="B315" s="8" t="n">
        <x:v>8</x:v>
      </x:c>
      <x:c r="C315" s="8" t="str">
        <x:v>卧室</x:v>
      </x:c>
      <x:c r="D315" s="8" t="str">
        <x:v>早期争议复核导出.user_type</x:v>
      </x:c>
      <x:c r="E315" s="8" t="str">
        <x:v>卧室</x:v>
      </x:c>
      <x:c r="F315" s="8" t="str">
        <x:v>卧室</x:v>
      </x:c>
      <x:c r="G315" s="8" t="n">
        <x:v>0</x:v>
      </x:c>
      <x:c r="H315" s="8" t="n">
        <x:v>0</x:v>
      </x:c>
      <x:c r="I315" s="8" t="n">
        <x:v>0</x:v>
      </x:c>
      <x:c r="J315" s="8" t="n">
        <x:v>19</x:v>
      </x:c>
      <x:c r="K315" s="8" t="str">
        <x:v>["G124"]</x:v>
      </x:c>
      <x:c r="L315" s="8" t="str">
        <x:v>https://github.com/Sparkling-Flames/3D_Manhattan_label/blob/844a4694627e1eacc6bfb48911897335e48ecc17/data/mp3d_layout/valid/img/pRbA3pwrgk9_2e5e98be62684eb8b3143fda3059ddde.png</x:v>
      </x:c>
      <x:c r="M315" s="8" t="str">
        <x:v>pRbA3pwrgk9_2e5e98be62684eb8b3143fda3059ddde</x:v>
      </x:c>
    </x:row>
    <x:row r="316" ht="44" customHeight="1">
      <x:c r="A316" s="8" t="str">
        <x:v>pRbA3pwrgk9</x:v>
      </x:c>
      <x:c r="B316" s="8" t="n">
        <x:v>9</x:v>
      </x:c>
      <x:c r="C316" s="8" t="str">
        <x:v>储藏与家务辅助</x:v>
      </x:c>
      <x:c r="D316" s="8" t="str">
        <x:v>早期争议复核导出.user_type</x:v>
      </x:c>
      <x:c r="E316" s="8" t="str">
        <x:v>储藏与家务辅助</x:v>
      </x:c>
      <x:c r="F316" s="8" t="str">
        <x:v>储藏与家务辅助</x:v>
      </x:c>
      <x:c r="G316" s="8" t="n">
        <x:v>0</x:v>
      </x:c>
      <x:c r="H316" s="8" t="n">
        <x:v>0</x:v>
      </x:c>
      <x:c r="I316" s="8" t="n">
        <x:v>0</x:v>
      </x:c>
      <x:c r="J316" s="8" t="n">
        <x:v>19</x:v>
      </x:c>
      <x:c r="K316" s="8" t="str">
        <x:v>["G127"]</x:v>
      </x:c>
      <x:c r="L316" s="8" t="str">
        <x:v>https://github.com/Sparkling-Flames/3D_Manhattan_label/blob/844a4694627e1eacc6bfb48911897335e48ecc17/data/mp3d_layout/valid/img/pRbA3pwrgk9_3851376d4f84494ebdc080b34ddc0f5e.png</x:v>
      </x:c>
      <x:c r="M316" s="8" t="str">
        <x:v>pRbA3pwrgk9_3851376d4f84494ebdc080b34ddc0f5e</x:v>
      </x:c>
    </x:row>
    <x:row r="317" ht="44" customHeight="1">
      <x:c r="A317" s="8" t="str">
        <x:v>pRbA3pwrgk9</x:v>
      </x:c>
      <x:c r="B317" s="8" t="n">
        <x:v>10</x:v>
      </x:c>
      <x:c r="C317" s="8" t="str">
        <x:v>卧室</x:v>
      </x:c>
      <x:c r="D317" s="8" t="str">
        <x:v>早期争议复核导出.user_type</x:v>
      </x:c>
      <x:c r="E317" s="8" t="str">
        <x:v>卧室</x:v>
      </x:c>
      <x:c r="F317" s="8" t="str">
        <x:v>卧室</x:v>
      </x:c>
      <x:c r="G317" s="8" t="n">
        <x:v>2</x:v>
      </x:c>
      <x:c r="H317" s="8" t="n">
        <x:v>2</x:v>
      </x:c>
      <x:c r="I317" s="8" t="n">
        <x:v>0</x:v>
      </x:c>
      <x:c r="J317" s="8" t="n">
        <x:v>17</x:v>
      </x:c>
      <x:c r="K317" s="8" t="str">
        <x:v>["G124"]</x:v>
      </x:c>
      <x:c r="L317" s="8" t="str">
        <x:v>https://github.com/Sparkling-Flames/3D_Manhattan_label/blob/844a4694627e1eacc6bfb48911897335e48ecc17/data/mp3d_layout/valid/img/pRbA3pwrgk9_4fe4474e9bf9429ea92d202bdea4dce5.png</x:v>
      </x:c>
      <x:c r="M317" s="8" t="str">
        <x:v>pRbA3pwrgk9_4fe4474e9bf9429ea92d202bdea4dce5</x:v>
      </x:c>
    </x:row>
    <x:row r="318" ht="44" customHeight="1">
      <x:c r="A318" s="8" t="str">
        <x:v>pRbA3pwrgk9</x:v>
      </x:c>
      <x:c r="B318" s="8" t="n">
        <x:v>11</x:v>
      </x:c>
      <x:c r="C318" s="8" t="str">
        <x:v>待拆解(null)</x:v>
      </x:c>
      <x:c r="D318" s="8" t="str">
        <x:v>早期争议复核导出.user_type</x:v>
      </x:c>
      <x:c r="E318" s="8" t="str">
        <x:v>复合／待定</x:v>
      </x:c>
      <x:c r="F318" s="8" t="str">
        <x:v>通行与连接</x:v>
      </x:c>
      <x:c r="G318" s="8" t="n">
        <x:v>20</x:v>
      </x:c>
      <x:c r="H318" s="8" t="n">
        <x:v>19</x:v>
      </x:c>
      <x:c r="I318" s="8" t="n">
        <x:v>0</x:v>
      </x:c>
      <x:c r="J318" s="8" t="n">
        <x:v>0</x:v>
      </x:c>
      <x:c r="K318" s="8" t="str">
        <x:v>["G123"]</x:v>
      </x:c>
      <x:c r="L318" s="8" t="str">
        <x:v>https://github.com/Sparkling-Flames/3D_Manhattan_label/blob/844a4694627e1eacc6bfb48911897335e48ecc17/data/mp3d_layout/valid/img/pRbA3pwrgk9_8b07a4b08cf447abb246769d8dce8494.png</x:v>
      </x:c>
      <x:c r="M318" s="8" t="str">
        <x:v>pRbA3pwrgk9_8b07a4b08cf447abb246769d8dce8494</x:v>
      </x:c>
    </x:row>
    <x:row r="319" ht="44" customHeight="1">
      <x:c r="A319" s="8" t="str">
        <x:v>pRbA3pwrgk9</x:v>
      </x:c>
      <x:c r="B319" s="8" t="n">
        <x:v>12</x:v>
      </x:c>
      <x:c r="C319" s="8" t="str">
        <x:v>储藏与家务辅助</x:v>
      </x:c>
      <x:c r="D319" s="8" t="str">
        <x:v>早期争议复核导出.user_type</x:v>
      </x:c>
      <x:c r="E319" s="8" t="str">
        <x:v>储藏与家务辅助</x:v>
      </x:c>
      <x:c r="F319" s="8" t="str">
        <x:v>储藏与家务辅助</x:v>
      </x:c>
      <x:c r="G319" s="8" t="n">
        <x:v>2</x:v>
      </x:c>
      <x:c r="H319" s="8" t="n">
        <x:v>1</x:v>
      </x:c>
      <x:c r="I319" s="8" t="n">
        <x:v>0</x:v>
      </x:c>
      <x:c r="J319" s="8" t="n">
        <x:v>18</x:v>
      </x:c>
      <x:c r="K319" s="8" t="str">
        <x:v>["G125"]</x:v>
      </x:c>
      <x:c r="L319" s="8" t="str">
        <x:v>https://github.com/Sparkling-Flames/3D_Manhattan_label/blob/844a4694627e1eacc6bfb48911897335e48ecc17/data/mp3d_layout/valid/img/pRbA3pwrgk9_8caa90fc5528451f9e9f45634676499b.png</x:v>
      </x:c>
      <x:c r="M319" s="8" t="str">
        <x:v>pRbA3pwrgk9_8caa90fc5528451f9e9f45634676499b</x:v>
      </x:c>
    </x:row>
    <x:row r="320" ht="44" customHeight="1">
      <x:c r="A320" s="8" t="str">
        <x:v>pRbA3pwrgk9</x:v>
      </x:c>
      <x:c r="B320" s="8" t="n">
        <x:v>13</x:v>
      </x:c>
      <x:c r="C320" s="8" t="str">
        <x:v>卫浴</x:v>
      </x:c>
      <x:c r="D320" s="8" t="str">
        <x:v>早期争议复核导出.user_type</x:v>
      </x:c>
      <x:c r="E320" s="8" t="str">
        <x:v>卫浴</x:v>
      </x:c>
      <x:c r="F320" s="8" t="str">
        <x:v>卫浴</x:v>
      </x:c>
      <x:c r="G320" s="8" t="n">
        <x:v>0</x:v>
      </x:c>
      <x:c r="H320" s="8" t="n">
        <x:v>0</x:v>
      </x:c>
      <x:c r="I320" s="8" t="n">
        <x:v>0</x:v>
      </x:c>
      <x:c r="J320" s="8" t="n">
        <x:v>19</x:v>
      </x:c>
      <x:c r="K320" s="8" t="str">
        <x:v>["G122"]</x:v>
      </x:c>
      <x:c r="L320" s="8" t="str">
        <x:v>https://github.com/Sparkling-Flames/3D_Manhattan_label/blob/844a4694627e1eacc6bfb48911897335e48ecc17/data/mp3d_layout/valid/img/pRbA3pwrgk9_950f2117a6164fbc8d2faff96c40a1e9.png</x:v>
      </x:c>
      <x:c r="M320" s="8" t="str">
        <x:v>pRbA3pwrgk9_950f2117a6164fbc8d2faff96c40a1e9</x:v>
      </x:c>
    </x:row>
    <x:row r="321" ht="44" customHeight="1">
      <x:c r="A321" s="8" t="str">
        <x:v>pRbA3pwrgk9</x:v>
      </x:c>
      <x:c r="B321" s="8" t="n">
        <x:v>14</x:v>
      </x:c>
      <x:c r="C321" s="8" t="str">
        <x:v>卫浴</x:v>
      </x:c>
      <x:c r="D321" s="8" t="str">
        <x:v>早期争议复核导出.user_type</x:v>
      </x:c>
      <x:c r="E321" s="8" t="str">
        <x:v>卫浴</x:v>
      </x:c>
      <x:c r="F321" s="8" t="str">
        <x:v>卫浴</x:v>
      </x:c>
      <x:c r="G321" s="8" t="n">
        <x:v>2</x:v>
      </x:c>
      <x:c r="H321" s="8" t="n">
        <x:v>2</x:v>
      </x:c>
      <x:c r="I321" s="8" t="n">
        <x:v>0</x:v>
      </x:c>
      <x:c r="J321" s="8" t="n">
        <x:v>17</x:v>
      </x:c>
      <x:c r="K321" s="8" t="str">
        <x:v>["G128"]</x:v>
      </x:c>
      <x:c r="L321" s="8" t="str">
        <x:v>https://github.com/Sparkling-Flames/3D_Manhattan_label/blob/844a4694627e1eacc6bfb48911897335e48ecc17/data/mp3d_layout/valid/img/pRbA3pwrgk9_9c9bed9bf7d94ac0bcea18e3bf521930.png</x:v>
      </x:c>
      <x:c r="M321" s="8" t="str">
        <x:v>pRbA3pwrgk9_9c9bed9bf7d94ac0bcea18e3bf521930</x:v>
      </x:c>
    </x:row>
    <x:row r="322" ht="44" customHeight="1">
      <x:c r="A322" s="8" t="str">
        <x:v>pRbA3pwrgk9</x:v>
      </x:c>
      <x:c r="B322" s="8" t="n">
        <x:v>15</x:v>
      </x:c>
      <x:c r="C322" s="8" t="str">
        <x:v>储藏与家务辅助</x:v>
      </x:c>
      <x:c r="D322" s="8" t="str">
        <x:v>早期争议复核导出.user_type</x:v>
      </x:c>
      <x:c r="E322" s="8" t="str">
        <x:v>储藏与家务辅助</x:v>
      </x:c>
      <x:c r="F322" s="8" t="str">
        <x:v>储藏与家务辅助</x:v>
      </x:c>
      <x:c r="G322" s="8" t="n">
        <x:v>0</x:v>
      </x:c>
      <x:c r="H322" s="8" t="n">
        <x:v>0</x:v>
      </x:c>
      <x:c r="I322" s="8" t="n">
        <x:v>0</x:v>
      </x:c>
      <x:c r="J322" s="8" t="n">
        <x:v>19</x:v>
      </x:c>
      <x:c r="K322" s="8" t="str">
        <x:v>["G126"]</x:v>
      </x:c>
      <x:c r="L322" s="8" t="str">
        <x:v>https://github.com/Sparkling-Flames/3D_Manhattan_label/blob/844a4694627e1eacc6bfb48911897335e48ecc17/data/mp3d_layout/valid/img/pRbA3pwrgk9_b1477ef96be5470d9881a9f6c9f825ae.png</x:v>
      </x:c>
      <x:c r="M322" s="8" t="str">
        <x:v>pRbA3pwrgk9_b1477ef96be5470d9881a9f6c9f825ae</x:v>
      </x:c>
    </x:row>
    <x:row r="323" ht="44" customHeight="1">
      <x:c r="A323" s="8" t="str">
        <x:v>pRbA3pwrgk9</x:v>
      </x:c>
      <x:c r="B323" s="8" t="n">
        <x:v>16</x:v>
      </x:c>
      <x:c r="C323" s="8" t="str">
        <x:v>卫浴</x:v>
      </x:c>
      <x:c r="D323" s="8" t="str">
        <x:v>早期争议复核导出.user_type</x:v>
      </x:c>
      <x:c r="E323" s="8" t="str">
        <x:v>卫浴</x:v>
      </x:c>
      <x:c r="F323" s="8" t="str">
        <x:v>通行与连接</x:v>
      </x:c>
      <x:c r="G323" s="8" t="n">
        <x:v>2</x:v>
      </x:c>
      <x:c r="H323" s="8" t="n">
        <x:v>2</x:v>
      </x:c>
      <x:c r="I323" s="8" t="n">
        <x:v>0</x:v>
      </x:c>
      <x:c r="J323" s="8" t="n">
        <x:v>17</x:v>
      </x:c>
      <x:c r="K323" s="8" t="str">
        <x:v>["G120"]</x:v>
      </x:c>
      <x:c r="L323" s="8" t="str">
        <x:v>https://github.com/Sparkling-Flames/3D_Manhattan_label/blob/844a4694627e1eacc6bfb48911897335e48ecc17/data/mp3d_layout/valid/img/pRbA3pwrgk9_bc9ae89832854c19a69741f97291efad.png</x:v>
      </x:c>
      <x:c r="M323" s="8" t="str">
        <x:v>pRbA3pwrgk9_bc9ae89832854c19a69741f97291efad</x:v>
      </x:c>
    </x:row>
    <x:row r="324" ht="44" customHeight="1">
      <x:c r="A324" s="8" t="str">
        <x:v>pRbA3pwrgk9</x:v>
      </x:c>
      <x:c r="B324" s="8" t="n">
        <x:v>17</x:v>
      </x:c>
      <x:c r="C324" s="8" t="str">
        <x:v>卫浴</x:v>
      </x:c>
      <x:c r="D324" s="8" t="str">
        <x:v>早期争议复核导出.user_type</x:v>
      </x:c>
      <x:c r="E324" s="8" t="str">
        <x:v>卫浴</x:v>
      </x:c>
      <x:c r="F324" s="8" t="str">
        <x:v>卫浴</x:v>
      </x:c>
      <x:c r="G324" s="8" t="n">
        <x:v>0</x:v>
      </x:c>
      <x:c r="H324" s="8" t="n">
        <x:v>0</x:v>
      </x:c>
      <x:c r="I324" s="8" t="n">
        <x:v>0</x:v>
      </x:c>
      <x:c r="J324" s="8" t="n">
        <x:v>19</x:v>
      </x:c>
      <x:c r="K324" s="8" t="str">
        <x:v>["G121", "G128"]</x:v>
      </x:c>
      <x:c r="L324" s="8" t="str">
        <x:v>https://github.com/Sparkling-Flames/3D_Manhattan_label/blob/844a4694627e1eacc6bfb48911897335e48ecc17/data/mp3d_layout/valid/img/pRbA3pwrgk9_c19e6a85e45d4aae9e9a4b703650132b.png</x:v>
      </x:c>
      <x:c r="M324" s="8" t="str">
        <x:v>pRbA3pwrgk9_c19e6a85e45d4aae9e9a4b703650132b</x:v>
      </x:c>
    </x:row>
    <x:row r="325" ht="44" customHeight="1">
      <x:c r="A325" s="8" t="str">
        <x:v>pRbA3pwrgk9</x:v>
      </x:c>
      <x:c r="B325" s="8" t="n">
        <x:v>18</x:v>
      </x:c>
      <x:c r="C325" s="8" t="str">
        <x:v>卧室</x:v>
      </x:c>
      <x:c r="D325" s="8" t="str">
        <x:v>早期争议复核导出.user_type</x:v>
      </x:c>
      <x:c r="E325" s="8" t="str">
        <x:v>卧室</x:v>
      </x:c>
      <x:c r="F325" s="8" t="str">
        <x:v>卧室</x:v>
      </x:c>
      <x:c r="G325" s="8" t="n">
        <x:v>0</x:v>
      </x:c>
      <x:c r="H325" s="8" t="n">
        <x:v>0</x:v>
      </x:c>
      <x:c r="I325" s="8" t="n">
        <x:v>0</x:v>
      </x:c>
      <x:c r="J325" s="8" t="n">
        <x:v>19</x:v>
      </x:c>
      <x:c r="K325" s="8" t="str">
        <x:v>["G124"]</x:v>
      </x:c>
      <x:c r="L325" s="8" t="str">
        <x:v>https://github.com/Sparkling-Flames/3D_Manhattan_label/blob/844a4694627e1eacc6bfb48911897335e48ecc17/data/mp3d_layout/valid/img/pRbA3pwrgk9_e0dc27df8b2d4484bde0f97284d4cdf7.png</x:v>
      </x:c>
      <x:c r="M325" s="8" t="str">
        <x:v>pRbA3pwrgk9_e0dc27df8b2d4484bde0f97284d4cdf7</x:v>
      </x:c>
    </x:row>
    <x:row r="326" ht="44" customHeight="1">
      <x:c r="A326" s="8" t="str">
        <x:v>pRbA3pwrgk9</x:v>
      </x:c>
      <x:c r="B326" s="8" t="n">
        <x:v>19</x:v>
      </x:c>
      <x:c r="C326" s="8" t="str">
        <x:v>储藏与家务辅助</x:v>
      </x:c>
      <x:c r="D326" s="8" t="str">
        <x:v>早期争议复核导出.user_type</x:v>
      </x:c>
      <x:c r="E326" s="8" t="str">
        <x:v>储藏与家务辅助</x:v>
      </x:c>
      <x:c r="F326" s="8" t="str">
        <x:v>储藏与家务辅助</x:v>
      </x:c>
      <x:c r="G326" s="8" t="n">
        <x:v>0</x:v>
      </x:c>
      <x:c r="H326" s="8" t="n">
        <x:v>0</x:v>
      </x:c>
      <x:c r="I326" s="8" t="n">
        <x:v>0</x:v>
      </x:c>
      <x:c r="J326" s="8" t="n">
        <x:v>19</x:v>
      </x:c>
      <x:c r="K326" s="8" t="str">
        <x:v>["G127"]</x:v>
      </x:c>
      <x:c r="L326" s="8" t="str">
        <x:v>https://github.com/Sparkling-Flames/3D_Manhattan_label/blob/844a4694627e1eacc6bfb48911897335e48ecc17/data/mp3d_layout/valid/img/pRbA3pwrgk9_ec8f8c12b70e4969ae24adb7031d9312.png</x:v>
      </x:c>
      <x:c r="M326" s="8" t="str">
        <x:v>pRbA3pwrgk9_ec8f8c12b70e4969ae24adb7031d9312</x:v>
      </x:c>
    </x:row>
    <x:row r="327" ht="44" customHeight="1">
      <x:c r="A327" s="8" t="str">
        <x:v>pRbA3pwrgk9</x:v>
      </x:c>
      <x:c r="B327" s="8" t="n">
        <x:v>20</x:v>
      </x:c>
      <x:c r="C327" s="8" t="str">
        <x:v>储藏与家务辅助</x:v>
      </x:c>
      <x:c r="D327" s="8" t="str">
        <x:v>早期争议复核导出.user_type</x:v>
      </x:c>
      <x:c r="E327" s="8" t="str">
        <x:v>储藏与家务辅助</x:v>
      </x:c>
      <x:c r="F327" s="8" t="str">
        <x:v>储藏与家务辅助</x:v>
      </x:c>
      <x:c r="G327" s="8" t="n">
        <x:v>0</x:v>
      </x:c>
      <x:c r="H327" s="8" t="n">
        <x:v>0</x:v>
      </x:c>
      <x:c r="I327" s="8" t="n">
        <x:v>0</x:v>
      </x:c>
      <x:c r="J327" s="8" t="n">
        <x:v>19</x:v>
      </x:c>
      <x:c r="K327" s="8" t="str">
        <x:v>["G127"]</x:v>
      </x:c>
      <x:c r="L327" s="8" t="str">
        <x:v>https://github.com/Sparkling-Flames/3D_Manhattan_label/blob/844a4694627e1eacc6bfb48911897335e48ecc17/data/mp3d_layout/valid/img/pRbA3pwrgk9_ecd2d3d74f1244a19bab0131ca065c26.png</x:v>
      </x:c>
      <x:c r="M327" s="8" t="str">
        <x:v>pRbA3pwrgk9_ecd2d3d74f1244a19bab0131ca065c26</x:v>
      </x:c>
    </x:row>
    <x:row r="328" ht="44" customHeight="1">
      <x:c r="A328" s="8" t="str">
        <x:v>q9vSo1VnCiC</x:v>
      </x:c>
      <x:c r="B328" s="8" t="n">
        <x:v>1</x:v>
      </x:c>
      <x:c r="C328" s="8" t="str">
        <x:v>卧室</x:v>
      </x:c>
      <x:c r="D328" s="8" t="str">
        <x:v>早期争议复核导出.user_type</x:v>
      </x:c>
      <x:c r="E328" s="8" t="str">
        <x:v>卧室</x:v>
      </x:c>
      <x:c r="F328" s="8" t="str"/>
      <x:c r="G328" s="8" t="n">
        <x:v>5</x:v>
      </x:c>
      <x:c r="H328" s="8" t="n">
        <x:v>5</x:v>
      </x:c>
      <x:c r="I328" s="8" t="n">
        <x:v>4</x:v>
      </x:c>
      <x:c r="J328" s="8" t="n">
        <x:v>11</x:v>
      </x:c>
      <x:c r="K328" s="8" t="str">
        <x:v>["G145"]</x:v>
      </x:c>
      <x:c r="L328" s="8" t="str">
        <x:v>https://github.com/Sparkling-Flames/3D_Manhattan_label/blob/844a4694627e1eacc6bfb48911897335e48ecc17/data/mp3d_layout/test/img/q9vSo1VnCiC_1cd414875b9b4311bc6a179d91e6270d.png</x:v>
      </x:c>
      <x:c r="M328" s="8" t="str">
        <x:v>q9vSo1VnCiC_1cd414875b9b4311bc6a179d91e6270d</x:v>
      </x:c>
    </x:row>
    <x:row r="329" ht="44" customHeight="1">
      <x:c r="A329" s="8" t="str">
        <x:v>q9vSo1VnCiC</x:v>
      </x:c>
      <x:c r="B329" s="8" t="n">
        <x:v>2</x:v>
      </x:c>
      <x:c r="C329" s="8" t="str">
        <x:v>通行与连接</x:v>
      </x:c>
      <x:c r="D329" s="8" t="str">
        <x:v>早期争议复核导出.user_type</x:v>
      </x:c>
      <x:c r="E329" s="8" t="str">
        <x:v>通行与连接</x:v>
      </x:c>
      <x:c r="F329" s="8" t="str"/>
      <x:c r="G329" s="8" t="n">
        <x:v>25</x:v>
      </x:c>
      <x:c r="H329" s="8" t="n">
        <x:v>19</x:v>
      </x:c>
      <x:c r="I329" s="8" t="n">
        <x:v>0</x:v>
      </x:c>
      <x:c r="J329" s="8" t="n">
        <x:v>0</x:v>
      </x:c>
      <x:c r="K329" s="8" t="str">
        <x:v>["G145"]</x:v>
      </x:c>
      <x:c r="L329" s="8" t="str">
        <x:v>https://github.com/Sparkling-Flames/3D_Manhattan_label/blob/844a4694627e1eacc6bfb48911897335e48ecc17/data/mp3d_layout/test/img/q9vSo1VnCiC_2a8ef249ec0e4ad5bfe138a65f50964e.png</x:v>
      </x:c>
      <x:c r="M329" s="8" t="str">
        <x:v>q9vSo1VnCiC_2a8ef249ec0e4ad5bfe138a65f50964e</x:v>
      </x:c>
    </x:row>
    <x:row r="330" ht="44" customHeight="1">
      <x:c r="A330" s="8" t="str">
        <x:v>q9vSo1VnCiC</x:v>
      </x:c>
      <x:c r="B330" s="8" t="n">
        <x:v>3</x:v>
      </x:c>
      <x:c r="C330" s="8" t="str">
        <x:v>卫浴</x:v>
      </x:c>
      <x:c r="D330" s="8" t="str">
        <x:v>早期争议复核导出.user_type</x:v>
      </x:c>
      <x:c r="E330" s="8" t="str">
        <x:v>卫浴</x:v>
      </x:c>
      <x:c r="F330" s="8" t="str">
        <x:v>卫浴</x:v>
      </x:c>
      <x:c r="G330" s="8" t="n">
        <x:v>5</x:v>
      </x:c>
      <x:c r="H330" s="8" t="n">
        <x:v>5</x:v>
      </x:c>
      <x:c r="I330" s="8" t="n">
        <x:v>0</x:v>
      </x:c>
      <x:c r="J330" s="8" t="n">
        <x:v>14</x:v>
      </x:c>
      <x:c r="K330" s="8" t="str">
        <x:v>["G146", "G147", "G148"]</x:v>
      </x:c>
      <x:c r="L330" s="8" t="str">
        <x:v>https://github.com/Sparkling-Flames/3D_Manhattan_label/blob/844a4694627e1eacc6bfb48911897335e48ecc17/data/mp3d_layout/test/img/q9vSo1VnCiC_3e5aacbc10904d4b88660a3cb91efcb9.png</x:v>
      </x:c>
      <x:c r="M330" s="8" t="str">
        <x:v>q9vSo1VnCiC_3e5aacbc10904d4b88660a3cb91efcb9</x:v>
      </x:c>
    </x:row>
    <x:row r="331" ht="44" customHeight="1">
      <x:c r="A331" s="8" t="str">
        <x:v>q9vSo1VnCiC</x:v>
      </x:c>
      <x:c r="B331" s="8" t="n">
        <x:v>4</x:v>
      </x:c>
      <x:c r="C331" s="8" t="str">
        <x:v>卫浴</x:v>
      </x:c>
      <x:c r="D331" s="8" t="str">
        <x:v>早期争议复核导出.user_type</x:v>
      </x:c>
      <x:c r="E331" s="8" t="str">
        <x:v>卫浴</x:v>
      </x:c>
      <x:c r="F331" s="8" t="str">
        <x:v>卫浴</x:v>
      </x:c>
      <x:c r="G331" s="8" t="n">
        <x:v>3</x:v>
      </x:c>
      <x:c r="H331" s="8" t="n">
        <x:v>2</x:v>
      </x:c>
      <x:c r="I331" s="8" t="n">
        <x:v>0</x:v>
      </x:c>
      <x:c r="J331" s="8" t="n">
        <x:v>15</x:v>
      </x:c>
      <x:c r="K331" s="8" t="str">
        <x:v>["G149"]</x:v>
      </x:c>
      <x:c r="L331" s="8" t="str">
        <x:v>https://github.com/Sparkling-Flames/3D_Manhattan_label/blob/844a4694627e1eacc6bfb48911897335e48ecc17/data/mp3d_layout/test/img/q9vSo1VnCiC_3e7f67e8969f434b9a4aec0c68668b20.png</x:v>
      </x:c>
      <x:c r="M331" s="8" t="str">
        <x:v>q9vSo1VnCiC_3e7f67e8969f434b9a4aec0c68668b20</x:v>
      </x:c>
    </x:row>
    <x:row r="332" ht="44" customHeight="1">
      <x:c r="A332" s="8" t="str">
        <x:v>q9vSo1VnCiC</x:v>
      </x:c>
      <x:c r="B332" s="8" t="n">
        <x:v>5</x:v>
      </x:c>
      <x:c r="C332" s="8" t="str">
        <x:v>卫浴</x:v>
      </x:c>
      <x:c r="D332" s="8" t="str">
        <x:v>早期争议复核导出.user_type</x:v>
      </x:c>
      <x:c r="E332" s="8" t="str">
        <x:v>卫浴</x:v>
      </x:c>
      <x:c r="F332" s="8" t="str">
        <x:v>卫浴</x:v>
      </x:c>
      <x:c r="G332" s="8" t="n">
        <x:v>0</x:v>
      </x:c>
      <x:c r="H332" s="8" t="n">
        <x:v>0</x:v>
      </x:c>
      <x:c r="I332" s="8" t="n">
        <x:v>0</x:v>
      </x:c>
      <x:c r="J332" s="8" t="n">
        <x:v>19</x:v>
      </x:c>
      <x:c r="K332" s="8" t="str">
        <x:v>["G146"]</x:v>
      </x:c>
      <x:c r="L332" s="8" t="str">
        <x:v>https://github.com/Sparkling-Flames/3D_Manhattan_label/blob/844a4694627e1eacc6bfb48911897335e48ecc17/data/mp3d_layout/test/img/q9vSo1VnCiC_46281f6c32544ffe90e6d88f539c4232.png</x:v>
      </x:c>
      <x:c r="M332" s="8" t="str">
        <x:v>q9vSo1VnCiC_46281f6c32544ffe90e6d88f539c4232</x:v>
      </x:c>
    </x:row>
    <x:row r="333" ht="44" customHeight="1">
      <x:c r="A333" s="8" t="str">
        <x:v>q9vSo1VnCiC</x:v>
      </x:c>
      <x:c r="B333" s="8" t="n">
        <x:v>6</x:v>
      </x:c>
      <x:c r="C333" s="8" t="str">
        <x:v>卫浴</x:v>
      </x:c>
      <x:c r="D333" s="8" t="str">
        <x:v>早期争议复核导出.user_type</x:v>
      </x:c>
      <x:c r="E333" s="8" t="str">
        <x:v>卫浴</x:v>
      </x:c>
      <x:c r="F333" s="8" t="str">
        <x:v>卫浴</x:v>
      </x:c>
      <x:c r="G333" s="8" t="n">
        <x:v>0</x:v>
      </x:c>
      <x:c r="H333" s="8" t="n">
        <x:v>0</x:v>
      </x:c>
      <x:c r="I333" s="8" t="n">
        <x:v>0</x:v>
      </x:c>
      <x:c r="J333" s="8" t="n">
        <x:v>19</x:v>
      </x:c>
      <x:c r="K333" s="8" t="str">
        <x:v>["G150"]</x:v>
      </x:c>
      <x:c r="L333" s="8" t="str">
        <x:v>https://github.com/Sparkling-Flames/3D_Manhattan_label/blob/844a4694627e1eacc6bfb48911897335e48ecc17/data/mp3d_layout/test/img/q9vSo1VnCiC_5cd2df07e41c46da907dfa1bd41164f5.png</x:v>
      </x:c>
      <x:c r="M333" s="8" t="str">
        <x:v>q9vSo1VnCiC_5cd2df07e41c46da907dfa1bd41164f5</x:v>
      </x:c>
    </x:row>
    <x:row r="334" ht="44" customHeight="1">
      <x:c r="A334" s="8" t="str">
        <x:v>q9vSo1VnCiC</x:v>
      </x:c>
      <x:c r="B334" s="8" t="n">
        <x:v>7</x:v>
      </x:c>
      <x:c r="C334" s="8" t="str">
        <x:v>卧室</x:v>
      </x:c>
      <x:c r="D334" s="8" t="str">
        <x:v>早期争议复核导出.user_type</x:v>
      </x:c>
      <x:c r="E334" s="8" t="str">
        <x:v>卧室</x:v>
      </x:c>
      <x:c r="F334" s="8" t="str">
        <x:v>卧室</x:v>
      </x:c>
      <x:c r="G334" s="8" t="n">
        <x:v>0</x:v>
      </x:c>
      <x:c r="H334" s="8" t="n">
        <x:v>0</x:v>
      </x:c>
      <x:c r="I334" s="8" t="n">
        <x:v>0</x:v>
      </x:c>
      <x:c r="J334" s="8" t="n">
        <x:v>19</x:v>
      </x:c>
      <x:c r="K334" s="8" t="str">
        <x:v>["G151"]</x:v>
      </x:c>
      <x:c r="L334" s="8" t="str">
        <x:v>https://github.com/Sparkling-Flames/3D_Manhattan_label/blob/844a4694627e1eacc6bfb48911897335e48ecc17/data/mp3d_layout/test/img/q9vSo1VnCiC_5deeec8cee844e6e9899bfff35b06f5d.png</x:v>
      </x:c>
      <x:c r="M334" s="8" t="str">
        <x:v>q9vSo1VnCiC_5deeec8cee844e6e9899bfff35b06f5d</x:v>
      </x:c>
    </x:row>
    <x:row r="335" ht="44" customHeight="1">
      <x:c r="A335" s="8" t="str">
        <x:v>q9vSo1VnCiC</x:v>
      </x:c>
      <x:c r="B335" s="8" t="n">
        <x:v>8</x:v>
      </x:c>
      <x:c r="C335" s="8" t="str">
        <x:v>卫浴</x:v>
      </x:c>
      <x:c r="D335" s="8" t="str">
        <x:v>早期争议复核导出.user_type</x:v>
      </x:c>
      <x:c r="E335" s="8" t="str">
        <x:v>卫浴</x:v>
      </x:c>
      <x:c r="F335" s="8" t="str">
        <x:v>卫浴</x:v>
      </x:c>
      <x:c r="G335" s="8" t="n">
        <x:v>0</x:v>
      </x:c>
      <x:c r="H335" s="8" t="n">
        <x:v>0</x:v>
      </x:c>
      <x:c r="I335" s="8" t="n">
        <x:v>0</x:v>
      </x:c>
      <x:c r="J335" s="8" t="n">
        <x:v>19</x:v>
      </x:c>
      <x:c r="K335" s="8" t="str">
        <x:v>["G152"]</x:v>
      </x:c>
      <x:c r="L335" s="8" t="str">
        <x:v>https://github.com/Sparkling-Flames/3D_Manhattan_label/blob/844a4694627e1eacc6bfb48911897335e48ecc17/data/mp3d_layout/test/img/q9vSo1VnCiC_60bae76d896345bfa783ebdd78f1cc71.png</x:v>
      </x:c>
      <x:c r="M335" s="8" t="str">
        <x:v>q9vSo1VnCiC_60bae76d896345bfa783ebdd78f1cc71</x:v>
      </x:c>
    </x:row>
    <x:row r="336" ht="44" customHeight="1">
      <x:c r="A336" s="8" t="str">
        <x:v>q9vSo1VnCiC</x:v>
      </x:c>
      <x:c r="B336" s="8" t="n">
        <x:v>9</x:v>
      </x:c>
      <x:c r="C336" s="8" t="str">
        <x:v>待拆解(null)</x:v>
      </x:c>
      <x:c r="D336" s="8" t="str">
        <x:v>早期争议复核导出.user_type</x:v>
      </x:c>
      <x:c r="E336" s="8" t="str">
        <x:v>复合／待定</x:v>
      </x:c>
      <x:c r="F336" s="8" t="str">
        <x:v>开放复合空间</x:v>
      </x:c>
      <x:c r="G336" s="8" t="n">
        <x:v>25</x:v>
      </x:c>
      <x:c r="H336" s="8" t="n">
        <x:v>19</x:v>
      </x:c>
      <x:c r="I336" s="8" t="n">
        <x:v>0</x:v>
      </x:c>
      <x:c r="J336" s="8" t="n">
        <x:v>0</x:v>
      </x:c>
      <x:c r="K336" s="8" t="str">
        <x:v>["G153"]</x:v>
      </x:c>
      <x:c r="L336" s="8" t="str">
        <x:v>https://github.com/Sparkling-Flames/3D_Manhattan_label/blob/844a4694627e1eacc6bfb48911897335e48ecc17/data/mp3d_layout/test/img/q9vSo1VnCiC_69591068e5614642b710a8fb7733bdeb.png</x:v>
      </x:c>
      <x:c r="M336" s="8" t="str">
        <x:v>q9vSo1VnCiC_69591068e5614642b710a8fb7733bdeb</x:v>
      </x:c>
    </x:row>
    <x:row r="337" ht="44" customHeight="1">
      <x:c r="A337" s="8" t="str">
        <x:v>q9vSo1VnCiC</x:v>
      </x:c>
      <x:c r="B337" s="8" t="n">
        <x:v>10</x:v>
      </x:c>
      <x:c r="C337" s="8" t="str">
        <x:v>通行与连接</x:v>
      </x:c>
      <x:c r="D337" s="8" t="str">
        <x:v>早期争议复核导出.user_type</x:v>
      </x:c>
      <x:c r="E337" s="8" t="str">
        <x:v>通行与连接</x:v>
      </x:c>
      <x:c r="F337" s="8" t="str">
        <x:v>开放复合空间</x:v>
      </x:c>
      <x:c r="G337" s="8" t="n">
        <x:v>0</x:v>
      </x:c>
      <x:c r="H337" s="8" t="n">
        <x:v>0</x:v>
      </x:c>
      <x:c r="I337" s="8" t="n">
        <x:v>0</x:v>
      </x:c>
      <x:c r="J337" s="8" t="n">
        <x:v>19</x:v>
      </x:c>
      <x:c r="K337" s="8" t="str">
        <x:v>["G153"]</x:v>
      </x:c>
      <x:c r="L337" s="8" t="str">
        <x:v>https://github.com/Sparkling-Flames/3D_Manhattan_label/blob/844a4694627e1eacc6bfb48911897335e48ecc17/data/mp3d_layout/test/img/q9vSo1VnCiC_6df6e29f6d1e4495b111d41b2e4e5cb9.png</x:v>
      </x:c>
      <x:c r="M337" s="8" t="str">
        <x:v>q9vSo1VnCiC_6df6e29f6d1e4495b111d41b2e4e5cb9</x:v>
      </x:c>
    </x:row>
    <x:row r="338" ht="44" customHeight="1">
      <x:c r="A338" s="8" t="str">
        <x:v>q9vSo1VnCiC</x:v>
      </x:c>
      <x:c r="B338" s="8" t="n">
        <x:v>11</x:v>
      </x:c>
      <x:c r="C338" s="8" t="str">
        <x:v>卧室</x:v>
      </x:c>
      <x:c r="D338" s="8" t="str">
        <x:v>早期争议复核导出.user_type</x:v>
      </x:c>
      <x:c r="E338" s="8" t="str">
        <x:v>卧室</x:v>
      </x:c>
      <x:c r="F338" s="8" t="str">
        <x:v>卧室</x:v>
      </x:c>
      <x:c r="G338" s="8" t="n">
        <x:v>5</x:v>
      </x:c>
      <x:c r="H338" s="8" t="n">
        <x:v>5</x:v>
      </x:c>
      <x:c r="I338" s="8" t="n">
        <x:v>0</x:v>
      </x:c>
      <x:c r="J338" s="8" t="n">
        <x:v>14</x:v>
      </x:c>
      <x:c r="K338" s="8" t="str">
        <x:v>["G154", "G155"]</x:v>
      </x:c>
      <x:c r="L338" s="8" t="str">
        <x:v>https://github.com/Sparkling-Flames/3D_Manhattan_label/blob/844a4694627e1eacc6bfb48911897335e48ecc17/data/mp3d_layout/test/img/q9vSo1VnCiC_830eb252ae01401a8fe55f9538e627dd.png</x:v>
      </x:c>
      <x:c r="M338" s="8" t="str">
        <x:v>q9vSo1VnCiC_830eb252ae01401a8fe55f9538e627dd</x:v>
      </x:c>
    </x:row>
    <x:row r="339" ht="44" customHeight="1">
      <x:c r="A339" s="8" t="str">
        <x:v>q9vSo1VnCiC</x:v>
      </x:c>
      <x:c r="B339" s="8" t="n">
        <x:v>12</x:v>
      </x:c>
      <x:c r="C339" s="8" t="str">
        <x:v>卧室</x:v>
      </x:c>
      <x:c r="D339" s="8" t="str">
        <x:v>早期争议复核导出.user_type</x:v>
      </x:c>
      <x:c r="E339" s="8" t="str">
        <x:v>卧室</x:v>
      </x:c>
      <x:c r="F339" s="8" t="str">
        <x:v>卧室</x:v>
      </x:c>
      <x:c r="G339" s="8" t="n">
        <x:v>6</x:v>
      </x:c>
      <x:c r="H339" s="8" t="n">
        <x:v>4</x:v>
      </x:c>
      <x:c r="I339" s="8" t="n">
        <x:v>4</x:v>
      </x:c>
      <x:c r="J339" s="8" t="n">
        <x:v>11</x:v>
      </x:c>
      <x:c r="K339" s="8" t="str">
        <x:v>["G156"]</x:v>
      </x:c>
      <x:c r="L339" s="8" t="str">
        <x:v>https://github.com/Sparkling-Flames/3D_Manhattan_label/blob/844a4694627e1eacc6bfb48911897335e48ecc17/data/mp3d_layout/test/img/q9vSo1VnCiC_9ba6cd412cb04c5c9beb15ef9e6d22c5.png</x:v>
      </x:c>
      <x:c r="M339" s="8" t="str">
        <x:v>q9vSo1VnCiC_9ba6cd412cb04c5c9beb15ef9e6d22c5</x:v>
      </x:c>
    </x:row>
    <x:row r="340" ht="44" customHeight="1">
      <x:c r="A340" s="8" t="str">
        <x:v>q9vSo1VnCiC</x:v>
      </x:c>
      <x:c r="B340" s="8" t="n">
        <x:v>13</x:v>
      </x:c>
      <x:c r="C340" s="8" t="str">
        <x:v>通行与连接</x:v>
      </x:c>
      <x:c r="D340" s="8" t="str">
        <x:v>早期争议复核导出.user_type</x:v>
      </x:c>
      <x:c r="E340" s="8" t="str">
        <x:v>通行与连接</x:v>
      </x:c>
      <x:c r="F340" s="8" t="str"/>
      <x:c r="G340" s="8" t="n">
        <x:v>25</x:v>
      </x:c>
      <x:c r="H340" s="8" t="n">
        <x:v>19</x:v>
      </x:c>
      <x:c r="I340" s="8" t="n">
        <x:v>0</x:v>
      </x:c>
      <x:c r="J340" s="8" t="n">
        <x:v>0</x:v>
      </x:c>
      <x:c r="K340" s="8" t="str">
        <x:v>["G145"]</x:v>
      </x:c>
      <x:c r="L340" s="8" t="str">
        <x:v>https://github.com/Sparkling-Flames/3D_Manhattan_label/blob/844a4694627e1eacc6bfb48911897335e48ecc17/data/mp3d_layout/test/img/q9vSo1VnCiC_9c9fb1fccf4e46a597a9510a1938c8b4.png</x:v>
      </x:c>
      <x:c r="M340" s="8" t="str">
        <x:v>q9vSo1VnCiC_9c9fb1fccf4e46a597a9510a1938c8b4</x:v>
      </x:c>
    </x:row>
    <x:row r="341" ht="44" customHeight="1">
      <x:c r="A341" s="8" t="str">
        <x:v>q9vSo1VnCiC</x:v>
      </x:c>
      <x:c r="B341" s="8" t="n">
        <x:v>14</x:v>
      </x:c>
      <x:c r="C341" s="8" t="str">
        <x:v>储藏与家务辅助</x:v>
      </x:c>
      <x:c r="D341" s="8" t="str">
        <x:v>早期争议复核导出.user_type</x:v>
      </x:c>
      <x:c r="E341" s="8" t="str">
        <x:v>储藏与家务辅助</x:v>
      </x:c>
      <x:c r="F341" s="8" t="str">
        <x:v>储藏与家务辅助</x:v>
      </x:c>
      <x:c r="G341" s="8" t="n">
        <x:v>0</x:v>
      </x:c>
      <x:c r="H341" s="8" t="n">
        <x:v>0</x:v>
      </x:c>
      <x:c r="I341" s="8" t="n">
        <x:v>0</x:v>
      </x:c>
      <x:c r="J341" s="8" t="n">
        <x:v>19</x:v>
      </x:c>
      <x:c r="K341" s="8" t="str">
        <x:v>[]</x:v>
      </x:c>
      <x:c r="L341" s="8" t="str">
        <x:v>https://github.com/Sparkling-Flames/3D_Manhattan_label/blob/844a4694627e1eacc6bfb48911897335e48ecc17/data/mp3d_layout/test/img/q9vSo1VnCiC_a139a1f906394f7a9d5dfc9772836342.png</x:v>
      </x:c>
      <x:c r="M341" s="8" t="str">
        <x:v>q9vSo1VnCiC_a139a1f906394f7a9d5dfc9772836342</x:v>
      </x:c>
    </x:row>
    <x:row r="342" ht="44" customHeight="1">
      <x:c r="A342" s="8" t="str">
        <x:v>q9vSo1VnCiC</x:v>
      </x:c>
      <x:c r="B342" s="8" t="n">
        <x:v>15</x:v>
      </x:c>
      <x:c r="C342" s="8" t="str">
        <x:v>卧室</x:v>
      </x:c>
      <x:c r="D342" s="8" t="str">
        <x:v>早期争议复核导出.user_type</x:v>
      </x:c>
      <x:c r="E342" s="8" t="str">
        <x:v>卧室</x:v>
      </x:c>
      <x:c r="F342" s="8" t="str">
        <x:v>卧室</x:v>
      </x:c>
      <x:c r="G342" s="8" t="n">
        <x:v>0</x:v>
      </x:c>
      <x:c r="H342" s="8" t="n">
        <x:v>0</x:v>
      </x:c>
      <x:c r="I342" s="8" t="n">
        <x:v>26</x:v>
      </x:c>
      <x:c r="J342" s="8" t="n">
        <x:v>0</x:v>
      </x:c>
      <x:c r="K342" s="8" t="str">
        <x:v>["G154", "G157"]</x:v>
      </x:c>
      <x:c r="L342" s="8" t="str">
        <x:v>https://github.com/Sparkling-Flames/3D_Manhattan_label/blob/844a4694627e1eacc6bfb48911897335e48ecc17/data/mp3d_layout/test/img/q9vSo1VnCiC_a412536ff52747d3b078f66e764cf103.png</x:v>
      </x:c>
      <x:c r="M342" s="8" t="str">
        <x:v>q9vSo1VnCiC_a412536ff52747d3b078f66e764cf103</x:v>
      </x:c>
    </x:row>
    <x:row r="343" ht="44" customHeight="1">
      <x:c r="A343" s="8" t="str">
        <x:v>q9vSo1VnCiC</x:v>
      </x:c>
      <x:c r="B343" s="8" t="n">
        <x:v>16</x:v>
      </x:c>
      <x:c r="C343" s="8" t="str">
        <x:v>卧室</x:v>
      </x:c>
      <x:c r="D343" s="8" t="str">
        <x:v>早期争议复核导出.user_type</x:v>
      </x:c>
      <x:c r="E343" s="8" t="str">
        <x:v>卧室</x:v>
      </x:c>
      <x:c r="F343" s="8" t="str">
        <x:v>卧室</x:v>
      </x:c>
      <x:c r="G343" s="8" t="n">
        <x:v>5</x:v>
      </x:c>
      <x:c r="H343" s="8" t="n">
        <x:v>4</x:v>
      </x:c>
      <x:c r="I343" s="8" t="n">
        <x:v>5</x:v>
      </x:c>
      <x:c r="J343" s="8" t="n">
        <x:v>12</x:v>
      </x:c>
      <x:c r="K343" s="8" t="str">
        <x:v>["G155"]</x:v>
      </x:c>
      <x:c r="L343" s="8" t="str">
        <x:v>https://github.com/Sparkling-Flames/3D_Manhattan_label/blob/844a4694627e1eacc6bfb48911897335e48ecc17/data/mp3d_layout/test/img/q9vSo1VnCiC_a424533651804a38a55b1252daccc81e.png</x:v>
      </x:c>
      <x:c r="M343" s="8" t="str">
        <x:v>q9vSo1VnCiC_a424533651804a38a55b1252daccc81e</x:v>
      </x:c>
    </x:row>
    <x:row r="344" ht="44" customHeight="1">
      <x:c r="A344" s="8" t="str">
        <x:v>q9vSo1VnCiC</x:v>
      </x:c>
      <x:c r="B344" s="8" t="n">
        <x:v>17</x:v>
      </x:c>
      <x:c r="C344" s="8" t="str">
        <x:v>通行与连接</x:v>
      </x:c>
      <x:c r="D344" s="8" t="str">
        <x:v>早期争议复核导出.user_type</x:v>
      </x:c>
      <x:c r="E344" s="8" t="str">
        <x:v>通行与连接</x:v>
      </x:c>
      <x:c r="F344" s="8" t="str">
        <x:v>开放复合空间</x:v>
      </x:c>
      <x:c r="G344" s="8" t="n">
        <x:v>0</x:v>
      </x:c>
      <x:c r="H344" s="8" t="n">
        <x:v>0</x:v>
      </x:c>
      <x:c r="I344" s="8" t="n">
        <x:v>0</x:v>
      </x:c>
      <x:c r="J344" s="8" t="n">
        <x:v>19</x:v>
      </x:c>
      <x:c r="K344" s="8" t="str">
        <x:v>["G153"]</x:v>
      </x:c>
      <x:c r="L344" s="8" t="str">
        <x:v>https://github.com/Sparkling-Flames/3D_Manhattan_label/blob/844a4694627e1eacc6bfb48911897335e48ecc17/data/mp3d_layout/test/img/q9vSo1VnCiC_a6560bae311a403a9bfe94e4c1c645f4.png</x:v>
      </x:c>
      <x:c r="M344" s="8" t="str">
        <x:v>q9vSo1VnCiC_a6560bae311a403a9bfe94e4c1c645f4</x:v>
      </x:c>
    </x:row>
    <x:row r="345" ht="44" customHeight="1">
      <x:c r="A345" s="8" t="str">
        <x:v>q9vSo1VnCiC</x:v>
      </x:c>
      <x:c r="B345" s="8" t="n">
        <x:v>18</x:v>
      </x:c>
      <x:c r="C345" s="8" t="str">
        <x:v>通行与连接</x:v>
      </x:c>
      <x:c r="D345" s="8" t="str">
        <x:v>后续41图亲审.current_classification.coarse_type</x:v>
      </x:c>
      <x:c r="E345" s="8" t="str">
        <x:v>通行与连接</x:v>
      </x:c>
      <x:c r="F345" s="8" t="str">
        <x:v>通行与连接</x:v>
      </x:c>
      <x:c r="G345" s="8" t="n">
        <x:v>0</x:v>
      </x:c>
      <x:c r="H345" s="8" t="n">
        <x:v>0</x:v>
      </x:c>
      <x:c r="I345" s="8" t="n">
        <x:v>0</x:v>
      </x:c>
      <x:c r="J345" s="8" t="n">
        <x:v>19</x:v>
      </x:c>
      <x:c r="K345" s="8" t="str">
        <x:v>["G158"]</x:v>
      </x:c>
      <x:c r="L345" s="8" t="str">
        <x:v>https://github.com/Sparkling-Flames/3D_Manhattan_label/blob/844a4694627e1eacc6bfb48911897335e48ecc17/data/mp3d_layout/test/img/q9vSo1VnCiC_a823913d661144d4ad3d609e1e085fb1.png</x:v>
      </x:c>
      <x:c r="M345" s="8" t="str">
        <x:v>q9vSo1VnCiC_a823913d661144d4ad3d609e1e085fb1</x:v>
      </x:c>
    </x:row>
    <x:row r="346" ht="44" customHeight="1">
      <x:c r="A346" s="8" t="str">
        <x:v>q9vSo1VnCiC</x:v>
      </x:c>
      <x:c r="B346" s="8" t="n">
        <x:v>19</x:v>
      </x:c>
      <x:c r="C346" s="8" t="str">
        <x:v>待拆解(null)</x:v>
      </x:c>
      <x:c r="D346" s="8" t="str">
        <x:v>早期争议复核导出.user_type</x:v>
      </x:c>
      <x:c r="E346" s="8" t="str">
        <x:v>复合／待定</x:v>
      </x:c>
      <x:c r="F346" s="8" t="str">
        <x:v>无法判断</x:v>
      </x:c>
      <x:c r="G346" s="8" t="n">
        <x:v>0</x:v>
      </x:c>
      <x:c r="H346" s="8" t="n">
        <x:v>0</x:v>
      </x:c>
      <x:c r="I346" s="8" t="n">
        <x:v>0</x:v>
      </x:c>
      <x:c r="J346" s="8" t="n">
        <x:v>19</x:v>
      </x:c>
      <x:c r="K346" s="8" t="str">
        <x:v>["G159"]</x:v>
      </x:c>
      <x:c r="L346" s="8" t="str">
        <x:v>https://github.com/Sparkling-Flames/3D_Manhattan_label/blob/844a4694627e1eacc6bfb48911897335e48ecc17/data/mp3d_layout/test/img/q9vSo1VnCiC_a84d84665ef94d0c86f38bc2250bab55.png</x:v>
      </x:c>
      <x:c r="M346" s="8" t="str">
        <x:v>q9vSo1VnCiC_a84d84665ef94d0c86f38bc2250bab55</x:v>
      </x:c>
    </x:row>
    <x:row r="347" ht="44" customHeight="1">
      <x:c r="A347" s="8" t="str">
        <x:v>q9vSo1VnCiC</x:v>
      </x:c>
      <x:c r="B347" s="8" t="n">
        <x:v>20</x:v>
      </x:c>
      <x:c r="C347" s="8" t="str">
        <x:v>通行与连接</x:v>
      </x:c>
      <x:c r="D347" s="8" t="str">
        <x:v>早期争议复核导出.user_type</x:v>
      </x:c>
      <x:c r="E347" s="8" t="str">
        <x:v>通行与连接</x:v>
      </x:c>
      <x:c r="F347" s="8" t="str">
        <x:v>通行与连接</x:v>
      </x:c>
      <x:c r="G347" s="8" t="n">
        <x:v>0</x:v>
      </x:c>
      <x:c r="H347" s="8" t="n">
        <x:v>0</x:v>
      </x:c>
      <x:c r="I347" s="8" t="n">
        <x:v>0</x:v>
      </x:c>
      <x:c r="J347" s="8" t="n">
        <x:v>19</x:v>
      </x:c>
      <x:c r="K347" s="8" t="str">
        <x:v>["G158", "G160"]</x:v>
      </x:c>
      <x:c r="L347" s="8" t="str">
        <x:v>https://github.com/Sparkling-Flames/3D_Manhattan_label/blob/844a4694627e1eacc6bfb48911897335e48ecc17/data/mp3d_layout/test/img/q9vSo1VnCiC_aca93be82fdc4e8fb7874b3ca88ca3e8.png</x:v>
      </x:c>
      <x:c r="M347" s="8" t="str">
        <x:v>q9vSo1VnCiC_aca93be82fdc4e8fb7874b3ca88ca3e8</x:v>
      </x:c>
    </x:row>
    <x:row r="348" ht="44" customHeight="1">
      <x:c r="A348" s="8" t="str">
        <x:v>q9vSo1VnCiC</x:v>
      </x:c>
      <x:c r="B348" s="8" t="n">
        <x:v>21</x:v>
      </x:c>
      <x:c r="C348" s="8" t="str">
        <x:v>卧室</x:v>
      </x:c>
      <x:c r="D348" s="8" t="str">
        <x:v>早期争议复核导出.user_type</x:v>
      </x:c>
      <x:c r="E348" s="8" t="str">
        <x:v>卧室</x:v>
      </x:c>
      <x:c r="F348" s="8" t="str">
        <x:v>卧室</x:v>
      </x:c>
      <x:c r="G348" s="8" t="n">
        <x:v>0</x:v>
      </x:c>
      <x:c r="H348" s="8" t="n">
        <x:v>0</x:v>
      </x:c>
      <x:c r="I348" s="8" t="n">
        <x:v>0</x:v>
      </x:c>
      <x:c r="J348" s="8" t="n">
        <x:v>19</x:v>
      </x:c>
      <x:c r="K348" s="8" t="str">
        <x:v>["G157"]</x:v>
      </x:c>
      <x:c r="L348" s="8" t="str">
        <x:v>https://github.com/Sparkling-Flames/3D_Manhattan_label/blob/844a4694627e1eacc6bfb48911897335e48ecc17/data/mp3d_layout/test/img/q9vSo1VnCiC_b691f1462d2b4d2cbc501f676af8ca1f.png</x:v>
      </x:c>
      <x:c r="M348" s="8" t="str">
        <x:v>q9vSo1VnCiC_b691f1462d2b4d2cbc501f676af8ca1f</x:v>
      </x:c>
    </x:row>
    <x:row r="349" ht="44" customHeight="1">
      <x:c r="A349" s="8" t="str">
        <x:v>q9vSo1VnCiC</x:v>
      </x:c>
      <x:c r="B349" s="8" t="n">
        <x:v>22</x:v>
      </x:c>
      <x:c r="C349" s="8" t="str">
        <x:v>卧室</x:v>
      </x:c>
      <x:c r="D349" s="8" t="str">
        <x:v>早期争议复核导出.user_type</x:v>
      </x:c>
      <x:c r="E349" s="8" t="str">
        <x:v>卧室</x:v>
      </x:c>
      <x:c r="F349" s="8" t="str"/>
      <x:c r="G349" s="8" t="n">
        <x:v>0</x:v>
      </x:c>
      <x:c r="H349" s="8" t="n">
        <x:v>0</x:v>
      </x:c>
      <x:c r="I349" s="8" t="n">
        <x:v>0</x:v>
      </x:c>
      <x:c r="J349" s="8" t="n">
        <x:v>19</x:v>
      </x:c>
      <x:c r="K349" s="8" t="str">
        <x:v>["G145", "G161"]</x:v>
      </x:c>
      <x:c r="L349" s="8" t="str">
        <x:v>https://github.com/Sparkling-Flames/3D_Manhattan_label/blob/844a4694627e1eacc6bfb48911897335e48ecc17/data/mp3d_layout/test/img/q9vSo1VnCiC_bac003e7f0294457905fb183c34ef2bf.png</x:v>
      </x:c>
      <x:c r="M349" s="8" t="str">
        <x:v>q9vSo1VnCiC_bac003e7f0294457905fb183c34ef2bf</x:v>
      </x:c>
    </x:row>
    <x:row r="350" ht="44" customHeight="1">
      <x:c r="A350" s="8" t="str">
        <x:v>q9vSo1VnCiC</x:v>
      </x:c>
      <x:c r="B350" s="8" t="n">
        <x:v>23</x:v>
      </x:c>
      <x:c r="C350" s="8" t="str">
        <x:v>卫浴</x:v>
      </x:c>
      <x:c r="D350" s="8" t="str">
        <x:v>早期争议复核导出.user_type</x:v>
      </x:c>
      <x:c r="E350" s="8" t="str">
        <x:v>卫浴</x:v>
      </x:c>
      <x:c r="F350" s="8" t="str">
        <x:v>卫浴</x:v>
      </x:c>
      <x:c r="G350" s="8" t="n">
        <x:v>25</x:v>
      </x:c>
      <x:c r="H350" s="8" t="n">
        <x:v>19</x:v>
      </x:c>
      <x:c r="I350" s="8" t="n">
        <x:v>0</x:v>
      </x:c>
      <x:c r="J350" s="8" t="n">
        <x:v>0</x:v>
      </x:c>
      <x:c r="K350" s="8" t="str">
        <x:v>["G147"]</x:v>
      </x:c>
      <x:c r="L350" s="8" t="str">
        <x:v>https://github.com/Sparkling-Flames/3D_Manhattan_label/blob/844a4694627e1eacc6bfb48911897335e48ecc17/data/mp3d_layout/test/img/q9vSo1VnCiC_c421f07780004647a7198c4ac5371e8a.png</x:v>
      </x:c>
      <x:c r="M350" s="8" t="str">
        <x:v>q9vSo1VnCiC_c421f07780004647a7198c4ac5371e8a</x:v>
      </x:c>
    </x:row>
    <x:row r="351" ht="44" customHeight="1">
      <x:c r="A351" s="8" t="str">
        <x:v>q9vSo1VnCiC</x:v>
      </x:c>
      <x:c r="B351" s="8" t="n">
        <x:v>24</x:v>
      </x:c>
      <x:c r="C351" s="8" t="str">
        <x:v>厨房与用餐</x:v>
      </x:c>
      <x:c r="D351" s="8" t="str">
        <x:v>后续41图亲审.current_classification.coarse_type</x:v>
      </x:c>
      <x:c r="E351" s="8" t="str">
        <x:v>储藏与家务辅助</x:v>
      </x:c>
      <x:c r="F351" s="8" t="str">
        <x:v>厨房与用餐</x:v>
      </x:c>
      <x:c r="G351" s="8" t="n">
        <x:v>6</x:v>
      </x:c>
      <x:c r="H351" s="8" t="n">
        <x:v>4</x:v>
      </x:c>
      <x:c r="I351" s="8" t="n">
        <x:v>0</x:v>
      </x:c>
      <x:c r="J351" s="8" t="n">
        <x:v>15</x:v>
      </x:c>
      <x:c r="K351" s="8" t="str">
        <x:v>[]</x:v>
      </x:c>
      <x:c r="L351" s="8" t="str">
        <x:v>https://github.com/Sparkling-Flames/3D_Manhattan_label/blob/844a4694627e1eacc6bfb48911897335e48ecc17/data/mp3d_layout/test/img/q9vSo1VnCiC_c4b0b6a41c2a4db3927f5fa9cafb6345.png</x:v>
      </x:c>
      <x:c r="M351" s="8" t="str">
        <x:v>q9vSo1VnCiC_c4b0b6a41c2a4db3927f5fa9cafb6345</x:v>
      </x:c>
    </x:row>
    <x:row r="352" ht="44" customHeight="1">
      <x:c r="A352" s="8" t="str">
        <x:v>q9vSo1VnCiC</x:v>
      </x:c>
      <x:c r="B352" s="8" t="n">
        <x:v>25</x:v>
      </x:c>
      <x:c r="C352" s="8" t="str">
        <x:v>卧室</x:v>
      </x:c>
      <x:c r="D352" s="8" t="str">
        <x:v>早期争议复核导出.user_type</x:v>
      </x:c>
      <x:c r="E352" s="8" t="str">
        <x:v>卧室</x:v>
      </x:c>
      <x:c r="F352" s="8" t="str">
        <x:v>卧室</x:v>
      </x:c>
      <x:c r="G352" s="8" t="n">
        <x:v>0</x:v>
      </x:c>
      <x:c r="H352" s="8" t="n">
        <x:v>0</x:v>
      </x:c>
      <x:c r="I352" s="8" t="n">
        <x:v>0</x:v>
      </x:c>
      <x:c r="J352" s="8" t="n">
        <x:v>19</x:v>
      </x:c>
      <x:c r="K352" s="8" t="str">
        <x:v>["G156"]</x:v>
      </x:c>
      <x:c r="L352" s="8" t="str">
        <x:v>https://github.com/Sparkling-Flames/3D_Manhattan_label/blob/844a4694627e1eacc6bfb48911897335e48ecc17/data/mp3d_layout/test/img/q9vSo1VnCiC_ca6944f5dd334193bb86058ba5ab5dc3.png</x:v>
      </x:c>
      <x:c r="M352" s="8" t="str">
        <x:v>q9vSo1VnCiC_ca6944f5dd334193bb86058ba5ab5dc3</x:v>
      </x:c>
    </x:row>
    <x:row r="353" ht="44" customHeight="1">
      <x:c r="A353" s="8" t="str">
        <x:v>q9vSo1VnCiC</x:v>
      </x:c>
      <x:c r="B353" s="8" t="n">
        <x:v>26</x:v>
      </x:c>
      <x:c r="C353" s="8" t="str">
        <x:v>卧室</x:v>
      </x:c>
      <x:c r="D353" s="8" t="str">
        <x:v>早期争议复核导出.user_type</x:v>
      </x:c>
      <x:c r="E353" s="8" t="str">
        <x:v>卧室</x:v>
      </x:c>
      <x:c r="F353" s="8" t="str">
        <x:v>卧室</x:v>
      </x:c>
      <x:c r="G353" s="8" t="n">
        <x:v>0</x:v>
      </x:c>
      <x:c r="H353" s="8" t="n">
        <x:v>0</x:v>
      </x:c>
      <x:c r="I353" s="8" t="n">
        <x:v>0</x:v>
      </x:c>
      <x:c r="J353" s="8" t="n">
        <x:v>19</x:v>
      </x:c>
      <x:c r="K353" s="8" t="str">
        <x:v>["G162"]</x:v>
      </x:c>
      <x:c r="L353" s="8" t="str">
        <x:v>https://github.com/Sparkling-Flames/3D_Manhattan_label/blob/844a4694627e1eacc6bfb48911897335e48ecc17/data/mp3d_layout/test/img/q9vSo1VnCiC_cefeb34bd9d04b4dac1189e24191c03f.png</x:v>
      </x:c>
      <x:c r="M353" s="8" t="str">
        <x:v>q9vSo1VnCiC_cefeb34bd9d04b4dac1189e24191c03f</x:v>
      </x:c>
    </x:row>
    <x:row r="354" ht="44" customHeight="1">
      <x:c r="A354" s="8" t="str">
        <x:v>q9vSo1VnCiC</x:v>
      </x:c>
      <x:c r="B354" s="8" t="n">
        <x:v>27</x:v>
      </x:c>
      <x:c r="C354" s="8" t="str">
        <x:v>卧室</x:v>
      </x:c>
      <x:c r="D354" s="8" t="str">
        <x:v>早期争议复核导出.user_type</x:v>
      </x:c>
      <x:c r="E354" s="8" t="str">
        <x:v>卧室</x:v>
      </x:c>
      <x:c r="F354" s="8" t="str"/>
      <x:c r="G354" s="8" t="n">
        <x:v>0</x:v>
      </x:c>
      <x:c r="H354" s="8" t="n">
        <x:v>0</x:v>
      </x:c>
      <x:c r="I354" s="8" t="n">
        <x:v>0</x:v>
      </x:c>
      <x:c r="J354" s="8" t="n">
        <x:v>19</x:v>
      </x:c>
      <x:c r="K354" s="8" t="str">
        <x:v>["G163"]</x:v>
      </x:c>
      <x:c r="L354" s="8" t="str">
        <x:v>https://github.com/Sparkling-Flames/3D_Manhattan_label/blob/844a4694627e1eacc6bfb48911897335e48ecc17/data/mp3d_layout/test/img/q9vSo1VnCiC_cf3f1eaf611b4f5f8d13c273359d231b.png</x:v>
      </x:c>
      <x:c r="M354" s="8" t="str">
        <x:v>q9vSo1VnCiC_cf3f1eaf611b4f5f8d13c273359d231b</x:v>
      </x:c>
    </x:row>
    <x:row r="355" ht="44" customHeight="1">
      <x:c r="A355" s="8" t="str">
        <x:v>q9vSo1VnCiC</x:v>
      </x:c>
      <x:c r="B355" s="8" t="n">
        <x:v>28</x:v>
      </x:c>
      <x:c r="C355" s="8" t="str">
        <x:v>卫浴</x:v>
      </x:c>
      <x:c r="D355" s="8" t="str">
        <x:v>早期争议复核导出.user_type</x:v>
      </x:c>
      <x:c r="E355" s="8" t="str">
        <x:v>卫浴</x:v>
      </x:c>
      <x:c r="F355" s="8" t="str">
        <x:v>卫浴</x:v>
      </x:c>
      <x:c r="G355" s="8" t="n">
        <x:v>0</x:v>
      </x:c>
      <x:c r="H355" s="8" t="n">
        <x:v>0</x:v>
      </x:c>
      <x:c r="I355" s="8" t="n">
        <x:v>0</x:v>
      </x:c>
      <x:c r="J355" s="8" t="n">
        <x:v>19</x:v>
      </x:c>
      <x:c r="K355" s="8" t="str">
        <x:v>["G148", "G152", "G159"]</x:v>
      </x:c>
      <x:c r="L355" s="8" t="str">
        <x:v>https://github.com/Sparkling-Flames/3D_Manhattan_label/blob/844a4694627e1eacc6bfb48911897335e48ecc17/data/mp3d_layout/test/img/q9vSo1VnCiC_d799bea8f909406b8b87d4cf8a7c421b.png</x:v>
      </x:c>
      <x:c r="M355" s="8" t="str">
        <x:v>q9vSo1VnCiC_d799bea8f909406b8b87d4cf8a7c421b</x:v>
      </x:c>
    </x:row>
    <x:row r="356" ht="44" customHeight="1">
      <x:c r="A356" s="8" t="str">
        <x:v>q9vSo1VnCiC</x:v>
      </x:c>
      <x:c r="B356" s="8" t="n">
        <x:v>29</x:v>
      </x:c>
      <x:c r="C356" s="8" t="str">
        <x:v>卧室</x:v>
      </x:c>
      <x:c r="D356" s="8" t="str">
        <x:v>早期争议复核导出.user_type</x:v>
      </x:c>
      <x:c r="E356" s="8" t="str">
        <x:v>卧室</x:v>
      </x:c>
      <x:c r="F356" s="8" t="str"/>
      <x:c r="G356" s="8" t="n">
        <x:v>5</x:v>
      </x:c>
      <x:c r="H356" s="8" t="n">
        <x:v>5</x:v>
      </x:c>
      <x:c r="I356" s="8" t="n">
        <x:v>0</x:v>
      </x:c>
      <x:c r="J356" s="8" t="n">
        <x:v>14</x:v>
      </x:c>
      <x:c r="K356" s="8" t="str">
        <x:v>["G161", "G163"]</x:v>
      </x:c>
      <x:c r="L356" s="8" t="str">
        <x:v>https://github.com/Sparkling-Flames/3D_Manhattan_label/blob/844a4694627e1eacc6bfb48911897335e48ecc17/data/mp3d_layout/test/img/q9vSo1VnCiC_dc320b1236f741a98303db9f89bc68a2.png</x:v>
      </x:c>
      <x:c r="M356" s="8" t="str">
        <x:v>q9vSo1VnCiC_dc320b1236f741a98303db9f89bc68a2</x:v>
      </x:c>
    </x:row>
    <x:row r="357" ht="44" customHeight="1">
      <x:c r="A357" s="8" t="str">
        <x:v>q9vSo1VnCiC</x:v>
      </x:c>
      <x:c r="B357" s="8" t="n">
        <x:v>30</x:v>
      </x:c>
      <x:c r="C357" s="8" t="str">
        <x:v>起居与休闲</x:v>
      </x:c>
      <x:c r="D357" s="8" t="str">
        <x:v>早期争议复核导出.user_type</x:v>
      </x:c>
      <x:c r="E357" s="8" t="str">
        <x:v>起居与休闲</x:v>
      </x:c>
      <x:c r="F357" s="8" t="str">
        <x:v>开放复合空间</x:v>
      </x:c>
      <x:c r="G357" s="8" t="n">
        <x:v>5</x:v>
      </x:c>
      <x:c r="H357" s="8" t="n">
        <x:v>5</x:v>
      </x:c>
      <x:c r="I357" s="8" t="n">
        <x:v>0</x:v>
      </x:c>
      <x:c r="J357" s="8" t="n">
        <x:v>14</x:v>
      </x:c>
      <x:c r="K357" s="8" t="str">
        <x:v>["G153"]</x:v>
      </x:c>
      <x:c r="L357" s="8" t="str">
        <x:v>https://github.com/Sparkling-Flames/3D_Manhattan_label/blob/844a4694627e1eacc6bfb48911897335e48ecc17/data/mp3d_layout/test/img/q9vSo1VnCiC_dc873df7717c43888a1cff13713fe146.png</x:v>
      </x:c>
      <x:c r="M357" s="8" t="str">
        <x:v>q9vSo1VnCiC_dc873df7717c43888a1cff13713fe146</x:v>
      </x:c>
    </x:row>
    <x:row r="358" ht="44" customHeight="1">
      <x:c r="A358" s="8" t="str">
        <x:v>q9vSo1VnCiC</x:v>
      </x:c>
      <x:c r="B358" s="8" t="n">
        <x:v>31</x:v>
      </x:c>
      <x:c r="C358" s="8" t="str">
        <x:v>卧室</x:v>
      </x:c>
      <x:c r="D358" s="8" t="str">
        <x:v>早期争议复核导出.user_type</x:v>
      </x:c>
      <x:c r="E358" s="8" t="str">
        <x:v>卧室</x:v>
      </x:c>
      <x:c r="F358" s="8" t="str">
        <x:v>卧室</x:v>
      </x:c>
      <x:c r="G358" s="8" t="n">
        <x:v>0</x:v>
      </x:c>
      <x:c r="H358" s="8" t="n">
        <x:v>0</x:v>
      </x:c>
      <x:c r="I358" s="8" t="n">
        <x:v>0</x:v>
      </x:c>
      <x:c r="J358" s="8" t="n">
        <x:v>19</x:v>
      </x:c>
      <x:c r="K358" s="8" t="str">
        <x:v>["G162"]</x:v>
      </x:c>
      <x:c r="L358" s="8" t="str">
        <x:v>https://github.com/Sparkling-Flames/3D_Manhattan_label/blob/844a4694627e1eacc6bfb48911897335e48ecc17/data/mp3d_layout/test/img/q9vSo1VnCiC_e58ef65f48d045e88b119261b96996c9.png</x:v>
      </x:c>
      <x:c r="M358" s="8" t="str">
        <x:v>q9vSo1VnCiC_e58ef65f48d045e88b119261b96996c9</x:v>
      </x:c>
    </x:row>
    <x:row r="359" ht="44" customHeight="1">
      <x:c r="A359" s="8" t="str">
        <x:v>q9vSo1VnCiC</x:v>
      </x:c>
      <x:c r="B359" s="8" t="n">
        <x:v>32</x:v>
      </x:c>
      <x:c r="C359" s="8" t="str">
        <x:v>卫浴</x:v>
      </x:c>
      <x:c r="D359" s="8" t="str">
        <x:v>早期争议复核导出.user_type</x:v>
      </x:c>
      <x:c r="E359" s="8" t="str">
        <x:v>卫浴</x:v>
      </x:c>
      <x:c r="F359" s="8" t="str">
        <x:v>卫浴</x:v>
      </x:c>
      <x:c r="G359" s="8" t="n">
        <x:v>25</x:v>
      </x:c>
      <x:c r="H359" s="8" t="n">
        <x:v>19</x:v>
      </x:c>
      <x:c r="I359" s="8" t="n">
        <x:v>0</x:v>
      </x:c>
      <x:c r="J359" s="8" t="n">
        <x:v>0</x:v>
      </x:c>
      <x:c r="K359" s="8" t="str">
        <x:v>["G149", "G150"]</x:v>
      </x:c>
      <x:c r="L359" s="8" t="str">
        <x:v>https://github.com/Sparkling-Flames/3D_Manhattan_label/blob/844a4694627e1eacc6bfb48911897335e48ecc17/data/mp3d_layout/test/img/q9vSo1VnCiC_e74e843601574864a14517f990c748a0.png</x:v>
      </x:c>
      <x:c r="M359" s="8" t="str">
        <x:v>q9vSo1VnCiC_e74e843601574864a14517f990c748a0</x:v>
      </x:c>
    </x:row>
    <x:row r="360" ht="44" customHeight="1">
      <x:c r="A360" s="8" t="str">
        <x:v>q9vSo1VnCiC</x:v>
      </x:c>
      <x:c r="B360" s="8" t="n">
        <x:v>33</x:v>
      </x:c>
      <x:c r="C360" s="8" t="str">
        <x:v>通行与连接</x:v>
      </x:c>
      <x:c r="D360" s="8" t="str">
        <x:v>早期争议复核导出.user_type</x:v>
      </x:c>
      <x:c r="E360" s="8" t="str">
        <x:v>通行与连接</x:v>
      </x:c>
      <x:c r="F360" s="8" t="str">
        <x:v>通行与连接</x:v>
      </x:c>
      <x:c r="G360" s="8" t="n">
        <x:v>0</x:v>
      </x:c>
      <x:c r="H360" s="8" t="n">
        <x:v>0</x:v>
      </x:c>
      <x:c r="I360" s="8" t="n">
        <x:v>0</x:v>
      </x:c>
      <x:c r="J360" s="8" t="n">
        <x:v>19</x:v>
      </x:c>
      <x:c r="K360" s="8" t="str">
        <x:v>["G160"]</x:v>
      </x:c>
      <x:c r="L360" s="8" t="str">
        <x:v>https://github.com/Sparkling-Flames/3D_Manhattan_label/blob/844a4694627e1eacc6bfb48911897335e48ecc17/data/mp3d_layout/test/img/q9vSo1VnCiC_f1b83e2b5e5244db844ceaa471eb0db0.png</x:v>
      </x:c>
      <x:c r="M360" s="8" t="str">
        <x:v>q9vSo1VnCiC_f1b83e2b5e5244db844ceaa471eb0db0</x:v>
      </x:c>
    </x:row>
    <x:row r="361" ht="44" customHeight="1">
      <x:c r="A361" s="8" t="str">
        <x:v>q9vSo1VnCiC</x:v>
      </x:c>
      <x:c r="B361" s="8" t="n">
        <x:v>34</x:v>
      </x:c>
      <x:c r="C361" s="8" t="str">
        <x:v>卧室</x:v>
      </x:c>
      <x:c r="D361" s="8" t="str">
        <x:v>早期争议复核导出.user_type</x:v>
      </x:c>
      <x:c r="E361" s="8" t="str">
        <x:v>卧室</x:v>
      </x:c>
      <x:c r="F361" s="8" t="str">
        <x:v>卧室</x:v>
      </x:c>
      <x:c r="G361" s="8" t="n">
        <x:v>5</x:v>
      </x:c>
      <x:c r="H361" s="8" t="n">
        <x:v>3</x:v>
      </x:c>
      <x:c r="I361" s="8" t="n">
        <x:v>0</x:v>
      </x:c>
      <x:c r="J361" s="8" t="n">
        <x:v>16</x:v>
      </x:c>
      <x:c r="K361" s="8" t="str">
        <x:v>["G151"]</x:v>
      </x:c>
      <x:c r="L361" s="8" t="str">
        <x:v>https://github.com/Sparkling-Flames/3D_Manhattan_label/blob/844a4694627e1eacc6bfb48911897335e48ecc17/data/mp3d_layout/test/img/q9vSo1VnCiC_f7452776f0604b508bb2b0263238deb0.png</x:v>
      </x:c>
      <x:c r="M361" s="8" t="str">
        <x:v>q9vSo1VnCiC_f7452776f0604b508bb2b0263238deb0</x:v>
      </x:c>
    </x:row>
    <x:row r="362" ht="44" customHeight="1">
      <x:c r="A362" s="8" t="str">
        <x:v>rPc6DW4iMge</x:v>
      </x:c>
      <x:c r="B362" s="8" t="n">
        <x:v>1</x:v>
      </x:c>
      <x:c r="C362" s="8" t="str">
        <x:v>卫浴</x:v>
      </x:c>
      <x:c r="D362" s="8" t="str">
        <x:v>后续41图亲审.current_classification.coarse_type</x:v>
      </x:c>
      <x:c r="E362" s="8" t="str">
        <x:v>卫浴</x:v>
      </x:c>
      <x:c r="F362" s="8" t="str">
        <x:v>卫浴</x:v>
      </x:c>
      <x:c r="G362" s="8" t="n">
        <x:v>23</x:v>
      </x:c>
      <x:c r="H362" s="8" t="n">
        <x:v>19</x:v>
      </x:c>
      <x:c r="I362" s="8" t="n">
        <x:v>0</x:v>
      </x:c>
      <x:c r="J362" s="8" t="n">
        <x:v>0</x:v>
      </x:c>
      <x:c r="K362" s="8" t="str">
        <x:v>["G164"]</x:v>
      </x:c>
      <x:c r="L362" s="8" t="str">
        <x:v>https://github.com/Sparkling-Flames/3D_Manhattan_label/blob/844a4694627e1eacc6bfb48911897335e48ecc17/data/mp3d_layout/test/img/rPc6DW4iMge_0012f6dcce9645778ac459e189cf0db3.png</x:v>
      </x:c>
      <x:c r="M362" s="8" t="str">
        <x:v>rPc6DW4iMge_0012f6dcce9645778ac459e189cf0db3</x:v>
      </x:c>
    </x:row>
    <x:row r="363" ht="44" customHeight="1">
      <x:c r="A363" s="8" t="str">
        <x:v>rPc6DW4iMge</x:v>
      </x:c>
      <x:c r="B363" s="8" t="n">
        <x:v>2</x:v>
      </x:c>
      <x:c r="C363" s="8" t="str">
        <x:v>卧室</x:v>
      </x:c>
      <x:c r="D363" s="8" t="str">
        <x:v>早期争议复核导出.user_type</x:v>
      </x:c>
      <x:c r="E363" s="8" t="str">
        <x:v>卧室</x:v>
      </x:c>
      <x:c r="F363" s="8" t="str">
        <x:v>卧室</x:v>
      </x:c>
      <x:c r="G363" s="8" t="n">
        <x:v>0</x:v>
      </x:c>
      <x:c r="H363" s="8" t="n">
        <x:v>0</x:v>
      </x:c>
      <x:c r="I363" s="8" t="n">
        <x:v>0</x:v>
      </x:c>
      <x:c r="J363" s="8" t="n">
        <x:v>19</x:v>
      </x:c>
      <x:c r="K363" s="8" t="str">
        <x:v>["G165"]</x:v>
      </x:c>
      <x:c r="L363" s="8" t="str">
        <x:v>https://github.com/Sparkling-Flames/3D_Manhattan_label/blob/844a4694627e1eacc6bfb48911897335e48ecc17/data/mp3d_layout/test/img/rPc6DW4iMge_0226db0c3fd24410bbf3db5e6d4b24fe.png</x:v>
      </x:c>
      <x:c r="M363" s="8" t="str">
        <x:v>rPc6DW4iMge_0226db0c3fd24410bbf3db5e6d4b24fe</x:v>
      </x:c>
    </x:row>
    <x:row r="364" ht="44" customHeight="1">
      <x:c r="A364" s="8" t="str">
        <x:v>rPc6DW4iMge</x:v>
      </x:c>
      <x:c r="B364" s="8" t="n">
        <x:v>3</x:v>
      </x:c>
      <x:c r="C364" s="8" t="str">
        <x:v>待拆解(null)</x:v>
      </x:c>
      <x:c r="D364" s="8" t="str">
        <x:v>早期争议复核导出.user_type</x:v>
      </x:c>
      <x:c r="E364" s="8" t="str">
        <x:v>复合／待定</x:v>
      </x:c>
      <x:c r="F364" s="8" t="str">
        <x:v>开放复合空间</x:v>
      </x:c>
      <x:c r="G364" s="8" t="n">
        <x:v>0</x:v>
      </x:c>
      <x:c r="H364" s="8" t="n">
        <x:v>0</x:v>
      </x:c>
      <x:c r="I364" s="8" t="n">
        <x:v>0</x:v>
      </x:c>
      <x:c r="J364" s="8" t="n">
        <x:v>19</x:v>
      </x:c>
      <x:c r="K364" s="8" t="str">
        <x:v>[]</x:v>
      </x:c>
      <x:c r="L364" s="8" t="str">
        <x:v>https://github.com/Sparkling-Flames/3D_Manhattan_label/blob/844a4694627e1eacc6bfb48911897335e48ecc17/data/mp3d_layout/test/img/rPc6DW4iMge_073ce382f78d4a81b8c673591a954997.png</x:v>
      </x:c>
      <x:c r="M364" s="8" t="str">
        <x:v>rPc6DW4iMge_073ce382f78d4a81b8c673591a954997</x:v>
      </x:c>
    </x:row>
    <x:row r="365" ht="44" customHeight="1">
      <x:c r="A365" s="8" t="str">
        <x:v>rPc6DW4iMge</x:v>
      </x:c>
      <x:c r="B365" s="8" t="n">
        <x:v>4</x:v>
      </x:c>
      <x:c r="C365" s="8" t="str">
        <x:v>储藏与家务辅助</x:v>
      </x:c>
      <x:c r="D365" s="8" t="str">
        <x:v>早期争议复核导出.user_type</x:v>
      </x:c>
      <x:c r="E365" s="8" t="str">
        <x:v>储藏与家务辅助</x:v>
      </x:c>
      <x:c r="F365" s="8" t="str">
        <x:v>储藏与家务辅助</x:v>
      </x:c>
      <x:c r="G365" s="8" t="n">
        <x:v>0</x:v>
      </x:c>
      <x:c r="H365" s="8" t="n">
        <x:v>0</x:v>
      </x:c>
      <x:c r="I365" s="8" t="n">
        <x:v>0</x:v>
      </x:c>
      <x:c r="J365" s="8" t="n">
        <x:v>19</x:v>
      </x:c>
      <x:c r="K365" s="8" t="str">
        <x:v>[]</x:v>
      </x:c>
      <x:c r="L365" s="8" t="str">
        <x:v>https://github.com/Sparkling-Flames/3D_Manhattan_label/blob/844a4694627e1eacc6bfb48911897335e48ecc17/data/mp3d_layout/test/img/rPc6DW4iMge_0a84204ae666476f97095e784a772323.png</x:v>
      </x:c>
      <x:c r="M365" s="8" t="str">
        <x:v>rPc6DW4iMge_0a84204ae666476f97095e784a772323</x:v>
      </x:c>
    </x:row>
    <x:row r="366" ht="44" customHeight="1">
      <x:c r="A366" s="8" t="str">
        <x:v>rPc6DW4iMge</x:v>
      </x:c>
      <x:c r="B366" s="8" t="n">
        <x:v>5</x:v>
      </x:c>
      <x:c r="C366" s="8" t="str">
        <x:v>卫浴</x:v>
      </x:c>
      <x:c r="D366" s="8" t="str">
        <x:v>早期争议复核导出.user_type</x:v>
      </x:c>
      <x:c r="E366" s="8" t="str">
        <x:v>卫浴</x:v>
      </x:c>
      <x:c r="F366" s="8" t="str">
        <x:v>卫浴</x:v>
      </x:c>
      <x:c r="G366" s="8" t="n">
        <x:v>5</x:v>
      </x:c>
      <x:c r="H366" s="8" t="n">
        <x:v>5</x:v>
      </x:c>
      <x:c r="I366" s="8" t="n">
        <x:v>0</x:v>
      </x:c>
      <x:c r="J366" s="8" t="n">
        <x:v>14</x:v>
      </x:c>
      <x:c r="K366" s="8" t="str">
        <x:v>["G166"]</x:v>
      </x:c>
      <x:c r="L366" s="8" t="str">
        <x:v>https://github.com/Sparkling-Flames/3D_Manhattan_label/blob/844a4694627e1eacc6bfb48911897335e48ecc17/data/mp3d_layout/test/img/rPc6DW4iMge_0dfe61800cc540db8e25c1738bc4b8ff.png</x:v>
      </x:c>
      <x:c r="M366" s="8" t="str">
        <x:v>rPc6DW4iMge_0dfe61800cc540db8e25c1738bc4b8ff</x:v>
      </x:c>
    </x:row>
    <x:row r="367" ht="44" customHeight="1">
      <x:c r="A367" s="8" t="str">
        <x:v>rPc6DW4iMge</x:v>
      </x:c>
      <x:c r="B367" s="8" t="n">
        <x:v>6</x:v>
      </x:c>
      <x:c r="C367" s="8" t="str">
        <x:v>卫浴</x:v>
      </x:c>
      <x:c r="D367" s="8" t="str">
        <x:v>早期争议复核导出.user_type</x:v>
      </x:c>
      <x:c r="E367" s="8" t="str">
        <x:v>卫浴</x:v>
      </x:c>
      <x:c r="F367" s="8" t="str">
        <x:v>卫浴</x:v>
      </x:c>
      <x:c r="G367" s="8" t="n">
        <x:v>25</x:v>
      </x:c>
      <x:c r="H367" s="8" t="n">
        <x:v>19</x:v>
      </x:c>
      <x:c r="I367" s="8" t="n">
        <x:v>0</x:v>
      </x:c>
      <x:c r="J367" s="8" t="n">
        <x:v>0</x:v>
      </x:c>
      <x:c r="K367" s="8" t="str">
        <x:v>["G166"]</x:v>
      </x:c>
      <x:c r="L367" s="8" t="str">
        <x:v>https://github.com/Sparkling-Flames/3D_Manhattan_label/blob/844a4694627e1eacc6bfb48911897335e48ecc17/data/mp3d_layout/test/img/rPc6DW4iMge_186a32a1b7e34cb797731bfa78365db5.png</x:v>
      </x:c>
      <x:c r="M367" s="8" t="str">
        <x:v>rPc6DW4iMge_186a32a1b7e34cb797731bfa78365db5</x:v>
      </x:c>
    </x:row>
    <x:row r="368" ht="44" customHeight="1">
      <x:c r="A368" s="8" t="str">
        <x:v>rPc6DW4iMge</x:v>
      </x:c>
      <x:c r="B368" s="8" t="n">
        <x:v>7</x:v>
      </x:c>
      <x:c r="C368" s="8" t="str">
        <x:v>通行与连接</x:v>
      </x:c>
      <x:c r="D368" s="8" t="str">
        <x:v>早期争议复核导出.user_type</x:v>
      </x:c>
      <x:c r="E368" s="8" t="str">
        <x:v>通行与连接</x:v>
      </x:c>
      <x:c r="F368" s="8" t="str">
        <x:v>通行与连接</x:v>
      </x:c>
      <x:c r="G368" s="8" t="n">
        <x:v>0</x:v>
      </x:c>
      <x:c r="H368" s="8" t="n">
        <x:v>0</x:v>
      </x:c>
      <x:c r="I368" s="8" t="n">
        <x:v>0</x:v>
      </x:c>
      <x:c r="J368" s="8" t="n">
        <x:v>19</x:v>
      </x:c>
      <x:c r="K368" s="8" t="str">
        <x:v>["G167"]</x:v>
      </x:c>
      <x:c r="L368" s="8" t="str">
        <x:v>https://github.com/Sparkling-Flames/3D_Manhattan_label/blob/844a4694627e1eacc6bfb48911897335e48ecc17/data/mp3d_layout/test/img/rPc6DW4iMge_1920d957cf3d4adab57626a7ccc206b0.png</x:v>
      </x:c>
      <x:c r="M368" s="8" t="str">
        <x:v>rPc6DW4iMge_1920d957cf3d4adab57626a7ccc206b0</x:v>
      </x:c>
    </x:row>
    <x:row r="369" ht="44" customHeight="1">
      <x:c r="A369" s="8" t="str">
        <x:v>rPc6DW4iMge</x:v>
      </x:c>
      <x:c r="B369" s="8" t="n">
        <x:v>8</x:v>
      </x:c>
      <x:c r="C369" s="8" t="str">
        <x:v>卫浴</x:v>
      </x:c>
      <x:c r="D369" s="8" t="str">
        <x:v>早期争议复核导出.user_type</x:v>
      </x:c>
      <x:c r="E369" s="8" t="str">
        <x:v>卫浴</x:v>
      </x:c>
      <x:c r="F369" s="8" t="str">
        <x:v>卫浴</x:v>
      </x:c>
      <x:c r="G369" s="8" t="n">
        <x:v>0</x:v>
      </x:c>
      <x:c r="H369" s="8" t="n">
        <x:v>0</x:v>
      </x:c>
      <x:c r="I369" s="8" t="n">
        <x:v>0</x:v>
      </x:c>
      <x:c r="J369" s="8" t="n">
        <x:v>19</x:v>
      </x:c>
      <x:c r="K369" s="8" t="str">
        <x:v>["G168", "G169"]</x:v>
      </x:c>
      <x:c r="L369" s="8" t="str">
        <x:v>https://github.com/Sparkling-Flames/3D_Manhattan_label/blob/844a4694627e1eacc6bfb48911897335e48ecc17/data/mp3d_layout/test/img/rPc6DW4iMge_1b4824ffdfc44d08aa648e90241289e4.png</x:v>
      </x:c>
      <x:c r="M369" s="8" t="str">
        <x:v>rPc6DW4iMge_1b4824ffdfc44d08aa648e90241289e4</x:v>
      </x:c>
    </x:row>
    <x:row r="370" ht="44" customHeight="1">
      <x:c r="A370" s="8" t="str">
        <x:v>rPc6DW4iMge</x:v>
      </x:c>
      <x:c r="B370" s="8" t="n">
        <x:v>9</x:v>
      </x:c>
      <x:c r="C370" s="8" t="str">
        <x:v>卫浴</x:v>
      </x:c>
      <x:c r="D370" s="8" t="str">
        <x:v>后续41图亲审.current_classification.coarse_type</x:v>
      </x:c>
      <x:c r="E370" s="8" t="str">
        <x:v>卫浴</x:v>
      </x:c>
      <x:c r="F370" s="8" t="str">
        <x:v>卫浴</x:v>
      </x:c>
      <x:c r="G370" s="8" t="n">
        <x:v>25</x:v>
      </x:c>
      <x:c r="H370" s="8" t="n">
        <x:v>19</x:v>
      </x:c>
      <x:c r="I370" s="8" t="n">
        <x:v>0</x:v>
      </x:c>
      <x:c r="J370" s="8" t="n">
        <x:v>0</x:v>
      </x:c>
      <x:c r="K370" s="8" t="str">
        <x:v>["G164"]</x:v>
      </x:c>
      <x:c r="L370" s="8" t="str">
        <x:v>https://github.com/Sparkling-Flames/3D_Manhattan_label/blob/844a4694627e1eacc6bfb48911897335e48ecc17/data/mp3d_layout/test/img/rPc6DW4iMge_1f14902595544e389c9c910c444e79e7.png</x:v>
      </x:c>
      <x:c r="M370" s="8" t="str">
        <x:v>rPc6DW4iMge_1f14902595544e389c9c910c444e79e7</x:v>
      </x:c>
    </x:row>
    <x:row r="371" ht="44" customHeight="1">
      <x:c r="A371" s="8" t="str">
        <x:v>rPc6DW4iMge</x:v>
      </x:c>
      <x:c r="B371" s="8" t="n">
        <x:v>10</x:v>
      </x:c>
      <x:c r="C371" s="8" t="str">
        <x:v>卫浴</x:v>
      </x:c>
      <x:c r="D371" s="8" t="str">
        <x:v>早期争议复核导出.user_type</x:v>
      </x:c>
      <x:c r="E371" s="8" t="str">
        <x:v>卫浴</x:v>
      </x:c>
      <x:c r="F371" s="8" t="str">
        <x:v>卫浴</x:v>
      </x:c>
      <x:c r="G371" s="8" t="n">
        <x:v>0</x:v>
      </x:c>
      <x:c r="H371" s="8" t="n">
        <x:v>0</x:v>
      </x:c>
      <x:c r="I371" s="8" t="n">
        <x:v>0</x:v>
      </x:c>
      <x:c r="J371" s="8" t="n">
        <x:v>19</x:v>
      </x:c>
      <x:c r="K371" s="8" t="str">
        <x:v>["G168"]</x:v>
      </x:c>
      <x:c r="L371" s="8" t="str">
        <x:v>https://github.com/Sparkling-Flames/3D_Manhattan_label/blob/844a4694627e1eacc6bfb48911897335e48ecc17/data/mp3d_layout/test/img/rPc6DW4iMge_2264f5b2a6e8450ab090e278ea8d1e0a.png</x:v>
      </x:c>
      <x:c r="M371" s="8" t="str">
        <x:v>rPc6DW4iMge_2264f5b2a6e8450ab090e278ea8d1e0a</x:v>
      </x:c>
    </x:row>
    <x:row r="372" ht="44" customHeight="1">
      <x:c r="A372" s="8" t="str">
        <x:v>rPc6DW4iMge</x:v>
      </x:c>
      <x:c r="B372" s="8" t="n">
        <x:v>11</x:v>
      </x:c>
      <x:c r="C372" s="8" t="str">
        <x:v>通行与连接</x:v>
      </x:c>
      <x:c r="D372" s="8" t="str">
        <x:v>早期争议复核导出.user_type</x:v>
      </x:c>
      <x:c r="E372" s="8" t="str">
        <x:v>通行与连接</x:v>
      </x:c>
      <x:c r="F372" s="8" t="str">
        <x:v>通行与连接</x:v>
      </x:c>
      <x:c r="G372" s="8" t="n">
        <x:v>0</x:v>
      </x:c>
      <x:c r="H372" s="8" t="n">
        <x:v>0</x:v>
      </x:c>
      <x:c r="I372" s="8" t="n">
        <x:v>0</x:v>
      </x:c>
      <x:c r="J372" s="8" t="n">
        <x:v>19</x:v>
      </x:c>
      <x:c r="K372" s="8" t="str">
        <x:v>["G167", "G170"]</x:v>
      </x:c>
      <x:c r="L372" s="8" t="str">
        <x:v>https://github.com/Sparkling-Flames/3D_Manhattan_label/blob/844a4694627e1eacc6bfb48911897335e48ecc17/data/mp3d_layout/test/img/rPc6DW4iMge_2aef8931ed104272873cbc52701eb2ad.png</x:v>
      </x:c>
      <x:c r="M372" s="8" t="str">
        <x:v>rPc6DW4iMge_2aef8931ed104272873cbc52701eb2ad</x:v>
      </x:c>
    </x:row>
    <x:row r="373" ht="44" customHeight="1">
      <x:c r="A373" s="8" t="str">
        <x:v>rPc6DW4iMge</x:v>
      </x:c>
      <x:c r="B373" s="8" t="n">
        <x:v>12</x:v>
      </x:c>
      <x:c r="C373" s="8" t="str">
        <x:v>通行与连接</x:v>
      </x:c>
      <x:c r="D373" s="8" t="str">
        <x:v>早期争议复核导出.user_type</x:v>
      </x:c>
      <x:c r="E373" s="8" t="str">
        <x:v>通行与连接</x:v>
      </x:c>
      <x:c r="F373" s="8" t="str">
        <x:v>通行与连接</x:v>
      </x:c>
      <x:c r="G373" s="8" t="n">
        <x:v>0</x:v>
      </x:c>
      <x:c r="H373" s="8" t="n">
        <x:v>0</x:v>
      </x:c>
      <x:c r="I373" s="8" t="n">
        <x:v>0</x:v>
      </x:c>
      <x:c r="J373" s="8" t="n">
        <x:v>19</x:v>
      </x:c>
      <x:c r="K373" s="8" t="str">
        <x:v>["G171"]</x:v>
      </x:c>
      <x:c r="L373" s="8" t="str">
        <x:v>https://github.com/Sparkling-Flames/3D_Manhattan_label/blob/844a4694627e1eacc6bfb48911897335e48ecc17/data/mp3d_layout/test/img/rPc6DW4iMge_2c16cbd610cf4e1b92b2830f51c07e32.png</x:v>
      </x:c>
      <x:c r="M373" s="8" t="str">
        <x:v>rPc6DW4iMge_2c16cbd610cf4e1b92b2830f51c07e32</x:v>
      </x:c>
    </x:row>
    <x:row r="374" ht="44" customHeight="1">
      <x:c r="A374" s="8" t="str">
        <x:v>rPc6DW4iMge</x:v>
      </x:c>
      <x:c r="B374" s="8" t="n">
        <x:v>13</x:v>
      </x:c>
      <x:c r="C374" s="8" t="str">
        <x:v>通行与连接</x:v>
      </x:c>
      <x:c r="D374" s="8" t="str">
        <x:v>早期争议复核导出.user_type</x:v>
      </x:c>
      <x:c r="E374" s="8" t="str">
        <x:v>通行与连接</x:v>
      </x:c>
      <x:c r="F374" s="8" t="str">
        <x:v>通行与连接</x:v>
      </x:c>
      <x:c r="G374" s="8" t="n">
        <x:v>5</x:v>
      </x:c>
      <x:c r="H374" s="8" t="n">
        <x:v>5</x:v>
      </x:c>
      <x:c r="I374" s="8" t="n">
        <x:v>0</x:v>
      </x:c>
      <x:c r="J374" s="8" t="n">
        <x:v>14</x:v>
      </x:c>
      <x:c r="K374" s="8" t="str">
        <x:v>["G171"]</x:v>
      </x:c>
      <x:c r="L374" s="8" t="str">
        <x:v>https://github.com/Sparkling-Flames/3D_Manhattan_label/blob/844a4694627e1eacc6bfb48911897335e48ecc17/data/mp3d_layout/test/img/rPc6DW4iMge_4350d36797324601adba7351d09602d2.png</x:v>
      </x:c>
      <x:c r="M374" s="8" t="str">
        <x:v>rPc6DW4iMge_4350d36797324601adba7351d09602d2</x:v>
      </x:c>
    </x:row>
    <x:row r="375" ht="44" customHeight="1">
      <x:c r="A375" s="8" t="str">
        <x:v>rPc6DW4iMge</x:v>
      </x:c>
      <x:c r="B375" s="8" t="n">
        <x:v>14</x:v>
      </x:c>
      <x:c r="C375" s="8" t="str">
        <x:v>卧室</x:v>
      </x:c>
      <x:c r="D375" s="8" t="str">
        <x:v>早期争议复核导出.user_type</x:v>
      </x:c>
      <x:c r="E375" s="8" t="str">
        <x:v>卧室</x:v>
      </x:c>
      <x:c r="F375" s="8" t="str">
        <x:v>卧室</x:v>
      </x:c>
      <x:c r="G375" s="8" t="n">
        <x:v>0</x:v>
      </x:c>
      <x:c r="H375" s="8" t="n">
        <x:v>0</x:v>
      </x:c>
      <x:c r="I375" s="8" t="n">
        <x:v>0</x:v>
      </x:c>
      <x:c r="J375" s="8" t="n">
        <x:v>19</x:v>
      </x:c>
      <x:c r="K375" s="8" t="str">
        <x:v>["G165"]</x:v>
      </x:c>
      <x:c r="L375" s="8" t="str">
        <x:v>https://github.com/Sparkling-Flames/3D_Manhattan_label/blob/844a4694627e1eacc6bfb48911897335e48ecc17/data/mp3d_layout/test/img/rPc6DW4iMge_7316bf706e0d46368334c0c989210e09.png</x:v>
      </x:c>
      <x:c r="M375" s="8" t="str">
        <x:v>rPc6DW4iMge_7316bf706e0d46368334c0c989210e09</x:v>
      </x:c>
    </x:row>
    <x:row r="376" ht="44" customHeight="1">
      <x:c r="A376" s="8" t="str">
        <x:v>rPc6DW4iMge</x:v>
      </x:c>
      <x:c r="B376" s="8" t="n">
        <x:v>15</x:v>
      </x:c>
      <x:c r="C376" s="8" t="str">
        <x:v>卧室</x:v>
      </x:c>
      <x:c r="D376" s="8" t="str">
        <x:v>早期争议复核导出.user_type</x:v>
      </x:c>
      <x:c r="E376" s="8" t="str">
        <x:v>卧室</x:v>
      </x:c>
      <x:c r="F376" s="8" t="str">
        <x:v>卧室</x:v>
      </x:c>
      <x:c r="G376" s="8" t="n">
        <x:v>23</x:v>
      </x:c>
      <x:c r="H376" s="8" t="n">
        <x:v>19</x:v>
      </x:c>
      <x:c r="I376" s="8" t="n">
        <x:v>0</x:v>
      </x:c>
      <x:c r="J376" s="8" t="n">
        <x:v>0</x:v>
      </x:c>
      <x:c r="K376" s="8" t="str">
        <x:v>["G165"]</x:v>
      </x:c>
      <x:c r="L376" s="8" t="str">
        <x:v>https://github.com/Sparkling-Flames/3D_Manhattan_label/blob/844a4694627e1eacc6bfb48911897335e48ecc17/data/mp3d_layout/test/img/rPc6DW4iMge_9d3eb9f5d38844bfb4e5fb2cd05fd3fd.png</x:v>
      </x:c>
      <x:c r="M376" s="8" t="str">
        <x:v>rPc6DW4iMge_9d3eb9f5d38844bfb4e5fb2cd05fd3fd</x:v>
      </x:c>
    </x:row>
    <x:row r="377" ht="44" customHeight="1">
      <x:c r="A377" s="8" t="str">
        <x:v>rPc6DW4iMge</x:v>
      </x:c>
      <x:c r="B377" s="8" t="n">
        <x:v>16</x:v>
      </x:c>
      <x:c r="C377" s="8" t="str">
        <x:v>卫浴</x:v>
      </x:c>
      <x:c r="D377" s="8" t="str">
        <x:v>早期争议复核导出.user_type</x:v>
      </x:c>
      <x:c r="E377" s="8" t="str">
        <x:v>卫浴</x:v>
      </x:c>
      <x:c r="F377" s="8" t="str">
        <x:v>卫浴</x:v>
      </x:c>
      <x:c r="G377" s="8" t="n">
        <x:v>6</x:v>
      </x:c>
      <x:c r="H377" s="8" t="n">
        <x:v>4</x:v>
      </x:c>
      <x:c r="I377" s="8" t="n">
        <x:v>0</x:v>
      </x:c>
      <x:c r="J377" s="8" t="n">
        <x:v>15</x:v>
      </x:c>
      <x:c r="K377" s="8" t="str">
        <x:v>["G169"]</x:v>
      </x:c>
      <x:c r="L377" s="8" t="str">
        <x:v>https://github.com/Sparkling-Flames/3D_Manhattan_label/blob/844a4694627e1eacc6bfb48911897335e48ecc17/data/mp3d_layout/test/img/rPc6DW4iMge_a72230c911234d18b08568b9d8b02dd2.png</x:v>
      </x:c>
      <x:c r="M377" s="8" t="str">
        <x:v>rPc6DW4iMge_a72230c911234d18b08568b9d8b02dd2</x:v>
      </x:c>
    </x:row>
    <x:row r="378" ht="44" customHeight="1">
      <x:c r="A378" s="8" t="str">
        <x:v>rPc6DW4iMge</x:v>
      </x:c>
      <x:c r="B378" s="8" t="n">
        <x:v>17</x:v>
      </x:c>
      <x:c r="C378" s="8" t="str">
        <x:v>卫浴</x:v>
      </x:c>
      <x:c r="D378" s="8" t="str">
        <x:v>早期争议复核导出.user_type</x:v>
      </x:c>
      <x:c r="E378" s="8" t="str">
        <x:v>卫浴</x:v>
      </x:c>
      <x:c r="F378" s="8" t="str">
        <x:v>卫浴</x:v>
      </x:c>
      <x:c r="G378" s="8" t="n">
        <x:v>0</x:v>
      </x:c>
      <x:c r="H378" s="8" t="n">
        <x:v>0</x:v>
      </x:c>
      <x:c r="I378" s="8" t="n">
        <x:v>26</x:v>
      </x:c>
      <x:c r="J378" s="8" t="n">
        <x:v>0</x:v>
      </x:c>
      <x:c r="K378" s="8" t="str">
        <x:v>[]</x:v>
      </x:c>
      <x:c r="L378" s="8" t="str">
        <x:v>https://github.com/Sparkling-Flames/3D_Manhattan_label/blob/844a4694627e1eacc6bfb48911897335e48ecc17/data/mp3d_layout/test/img/rPc6DW4iMge_acbe920a0c5d4c018b1803ee9b1f331a.png</x:v>
      </x:c>
      <x:c r="M378" s="8" t="str">
        <x:v>rPc6DW4iMge_acbe920a0c5d4c018b1803ee9b1f331a</x:v>
      </x:c>
    </x:row>
    <x:row r="379" ht="44" customHeight="1">
      <x:c r="A379" s="8" t="str">
        <x:v>rPc6DW4iMge</x:v>
      </x:c>
      <x:c r="B379" s="8" t="n">
        <x:v>18</x:v>
      </x:c>
      <x:c r="C379" s="8" t="str">
        <x:v>通行与连接</x:v>
      </x:c>
      <x:c r="D379" s="8" t="str">
        <x:v>早期争议复核导出.user_type</x:v>
      </x:c>
      <x:c r="E379" s="8" t="str">
        <x:v>通行与连接</x:v>
      </x:c>
      <x:c r="F379" s="8" t="str">
        <x:v>通行与连接</x:v>
      </x:c>
      <x:c r="G379" s="8" t="n">
        <x:v>0</x:v>
      </x:c>
      <x:c r="H379" s="8" t="n">
        <x:v>0</x:v>
      </x:c>
      <x:c r="I379" s="8" t="n">
        <x:v>0</x:v>
      </x:c>
      <x:c r="J379" s="8" t="n">
        <x:v>19</x:v>
      </x:c>
      <x:c r="K379" s="8" t="str">
        <x:v>["G171"]</x:v>
      </x:c>
      <x:c r="L379" s="8" t="str">
        <x:v>https://github.com/Sparkling-Flames/3D_Manhattan_label/blob/844a4694627e1eacc6bfb48911897335e48ecc17/data/mp3d_layout/test/img/rPc6DW4iMge_bad24c9d90de493eb70e9af8383ee598.png</x:v>
      </x:c>
      <x:c r="M379" s="8" t="str">
        <x:v>rPc6DW4iMge_bad24c9d90de493eb70e9af8383ee598</x:v>
      </x:c>
    </x:row>
    <x:row r="380" ht="44" customHeight="1">
      <x:c r="A380" s="8" t="str">
        <x:v>rPc6DW4iMge</x:v>
      </x:c>
      <x:c r="B380" s="8" t="n">
        <x:v>19</x:v>
      </x:c>
      <x:c r="C380" s="8" t="str">
        <x:v>通行与连接</x:v>
      </x:c>
      <x:c r="D380" s="8" t="str">
        <x:v>早期争议复核导出.user_type</x:v>
      </x:c>
      <x:c r="E380" s="8" t="str">
        <x:v>通行与连接</x:v>
      </x:c>
      <x:c r="F380" s="8" t="str">
        <x:v>通行与连接</x:v>
      </x:c>
      <x:c r="G380" s="8" t="n">
        <x:v>0</x:v>
      </x:c>
      <x:c r="H380" s="8" t="n">
        <x:v>0</x:v>
      </x:c>
      <x:c r="I380" s="8" t="n">
        <x:v>0</x:v>
      </x:c>
      <x:c r="J380" s="8" t="n">
        <x:v>19</x:v>
      </x:c>
      <x:c r="K380" s="8" t="str">
        <x:v>["G170"]</x:v>
      </x:c>
      <x:c r="L380" s="8" t="str">
        <x:v>https://github.com/Sparkling-Flames/3D_Manhattan_label/blob/844a4694627e1eacc6bfb48911897335e48ecc17/data/mp3d_layout/test/img/rPc6DW4iMge_cabddb2506ee4bfcb2a1bcfa6625fe28.png</x:v>
      </x:c>
      <x:c r="M380" s="8" t="str">
        <x:v>rPc6DW4iMge_cabddb2506ee4bfcb2a1bcfa6625fe28</x:v>
      </x:c>
    </x:row>
    <x:row r="381" ht="44" customHeight="1">
      <x:c r="A381" s="8" t="str">
        <x:v>rPc6DW4iMge</x:v>
      </x:c>
      <x:c r="B381" s="8" t="n">
        <x:v>20</x:v>
      </x:c>
      <x:c r="C381" s="8" t="str">
        <x:v>通行与连接</x:v>
      </x:c>
      <x:c r="D381" s="8" t="str">
        <x:v>早期争议复核导出.user_type</x:v>
      </x:c>
      <x:c r="E381" s="8" t="str">
        <x:v>通行与连接</x:v>
      </x:c>
      <x:c r="F381" s="8" t="str">
        <x:v>通行与连接</x:v>
      </x:c>
      <x:c r="G381" s="8" t="n">
        <x:v>26</x:v>
      </x:c>
      <x:c r="H381" s="8" t="n">
        <x:v>19</x:v>
      </x:c>
      <x:c r="I381" s="8" t="n">
        <x:v>0</x:v>
      </x:c>
      <x:c r="J381" s="8" t="n">
        <x:v>0</x:v>
      </x:c>
      <x:c r="K381" s="8" t="str">
        <x:v>["G171"]</x:v>
      </x:c>
      <x:c r="L381" s="8" t="str">
        <x:v>https://github.com/Sparkling-Flames/3D_Manhattan_label/blob/844a4694627e1eacc6bfb48911897335e48ecc17/data/mp3d_layout/test/img/rPc6DW4iMge_cc15fb105d86466faafdd633f89148de.png</x:v>
      </x:c>
      <x:c r="M381" s="8" t="str">
        <x:v>rPc6DW4iMge_cc15fb105d86466faafdd633f89148de</x:v>
      </x:c>
    </x:row>
    <x:row r="382" ht="44" customHeight="1">
      <x:c r="A382" s="8" t="str">
        <x:v>rPc6DW4iMge</x:v>
      </x:c>
      <x:c r="B382" s="8" t="n">
        <x:v>21</x:v>
      </x:c>
      <x:c r="C382" s="8" t="str">
        <x:v>起居与休闲</x:v>
      </x:c>
      <x:c r="D382" s="8" t="str">
        <x:v>早期争议复核导出.user_type</x:v>
      </x:c>
      <x:c r="E382" s="8" t="str">
        <x:v>起居与休闲</x:v>
      </x:c>
      <x:c r="F382" s="8" t="str">
        <x:v>起居与休闲</x:v>
      </x:c>
      <x:c r="G382" s="8" t="n">
        <x:v>0</x:v>
      </x:c>
      <x:c r="H382" s="8" t="n">
        <x:v>0</x:v>
      </x:c>
      <x:c r="I382" s="8" t="n">
        <x:v>0</x:v>
      </x:c>
      <x:c r="J382" s="8" t="n">
        <x:v>19</x:v>
      </x:c>
      <x:c r="K382" s="8" t="str">
        <x:v>[]</x:v>
      </x:c>
      <x:c r="L382" s="8" t="str">
        <x:v>https://github.com/Sparkling-Flames/3D_Manhattan_label/blob/844a4694627e1eacc6bfb48911897335e48ecc17/data/mp3d_layout/test/img/rPc6DW4iMge_e7f5cf7434824a0ab0b4cc060e863c9a.png</x:v>
      </x:c>
      <x:c r="M382" s="8" t="str">
        <x:v>rPc6DW4iMge_e7f5cf7434824a0ab0b4cc060e863c9a</x:v>
      </x:c>
    </x:row>
    <x:row r="383" ht="44" customHeight="1">
      <x:c r="A383" s="8" t="str">
        <x:v>rPc6DW4iMge</x:v>
      </x:c>
      <x:c r="B383" s="8" t="n">
        <x:v>22</x:v>
      </x:c>
      <x:c r="C383" s="8" t="str">
        <x:v>卫浴</x:v>
      </x:c>
      <x:c r="D383" s="8" t="str">
        <x:v>早期争议复核导出.user_type</x:v>
      </x:c>
      <x:c r="E383" s="8" t="str">
        <x:v>卫浴</x:v>
      </x:c>
      <x:c r="F383" s="8" t="str">
        <x:v>卫浴</x:v>
      </x:c>
      <x:c r="G383" s="8" t="n">
        <x:v>23</x:v>
      </x:c>
      <x:c r="H383" s="8" t="n">
        <x:v>18</x:v>
      </x:c>
      <x:c r="I383" s="8" t="n">
        <x:v>0</x:v>
      </x:c>
      <x:c r="J383" s="8" t="n">
        <x:v>0</x:v>
      </x:c>
      <x:c r="K383" s="8" t="str">
        <x:v>["G166"]</x:v>
      </x:c>
      <x:c r="L383" s="8" t="str">
        <x:v>https://github.com/Sparkling-Flames/3D_Manhattan_label/blob/844a4694627e1eacc6bfb48911897335e48ecc17/data/mp3d_layout/test/img/rPc6DW4iMge_fbc169773c954580baea6d2798c0d486.png</x:v>
      </x:c>
      <x:c r="M383" s="8" t="str">
        <x:v>rPc6DW4iMge_fbc169773c954580baea6d2798c0d486</x:v>
      </x:c>
    </x:row>
    <x:row r="384" ht="44" customHeight="1">
      <x:c r="A384" s="8" t="str">
        <x:v>rqfALeAoiTq</x:v>
      </x:c>
      <x:c r="B384" s="8" t="n">
        <x:v>1</x:v>
      </x:c>
      <x:c r="C384" s="8" t="str">
        <x:v>通行与连接</x:v>
      </x:c>
      <x:c r="D384" s="8" t="str">
        <x:v>早期争议复核导出.user_type</x:v>
      </x:c>
      <x:c r="E384" s="8" t="str">
        <x:v>通行与连接</x:v>
      </x:c>
      <x:c r="F384" s="8" t="str">
        <x:v>通行与连接</x:v>
      </x:c>
      <x:c r="G384" s="8" t="n">
        <x:v>0</x:v>
      </x:c>
      <x:c r="H384" s="8" t="n">
        <x:v>0</x:v>
      </x:c>
      <x:c r="I384" s="8" t="n">
        <x:v>0</x:v>
      </x:c>
      <x:c r="J384" s="8" t="n">
        <x:v>19</x:v>
      </x:c>
      <x:c r="K384" s="8" t="str">
        <x:v>[]</x:v>
      </x:c>
      <x:c r="L384" s="8" t="str">
        <x:v>https://github.com/Sparkling-Flames/3D_Manhattan_label/blob/844a4694627e1eacc6bfb48911897335e48ecc17/data/mp3d_layout/test/img/rqfALeAoiTq_543b6ae7daa84e4eae377957999e7c8e.png</x:v>
      </x:c>
      <x:c r="M384" s="8" t="str">
        <x:v>rqfALeAoiTq_543b6ae7daa84e4eae377957999e7c8e</x:v>
      </x:c>
    </x:row>
    <x:row r="385" ht="44" customHeight="1">
      <x:c r="A385" s="8" t="str">
        <x:v>pa4otMbVnkk</x:v>
      </x:c>
      <x:c r="B385" s="8" t="n">
        <x:v>1</x:v>
      </x:c>
      <x:c r="C385" s="8" t="str">
        <x:v>卫浴</x:v>
      </x:c>
      <x:c r="D385" s="8" t="str">
        <x:v>早期争议复核导出.user_type</x:v>
      </x:c>
      <x:c r="E385" s="8" t="str">
        <x:v>卫浴</x:v>
      </x:c>
      <x:c r="F385" s="8" t="str">
        <x:v>卫浴</x:v>
      </x:c>
      <x:c r="G385" s="8" t="n">
        <x:v>0</x:v>
      </x:c>
      <x:c r="H385" s="8" t="n">
        <x:v>0</x:v>
      </x:c>
      <x:c r="I385" s="8" t="n">
        <x:v>0</x:v>
      </x:c>
      <x:c r="J385" s="8" t="n">
        <x:v>19</x:v>
      </x:c>
      <x:c r="K385" s="8" t="str">
        <x:v>["G129"]</x:v>
      </x:c>
      <x:c r="L385" s="8" t="str">
        <x:v>https://github.com/Sparkling-Flames/3D_Manhattan_label/blob/844a4694627e1eacc6bfb48911897335e48ecc17/data/mp3d_layout/valid/img/pa4otMbVnkk_007d567cfff94aff8d850876914b9584.png</x:v>
      </x:c>
      <x:c r="M385" s="8" t="str">
        <x:v>pa4otMbVnkk_007d567cfff94aff8d850876914b9584</x:v>
      </x:c>
    </x:row>
    <x:row r="386" ht="44" customHeight="1">
      <x:c r="A386" s="8" t="str">
        <x:v>pa4otMbVnkk</x:v>
      </x:c>
      <x:c r="B386" s="8" t="n">
        <x:v>2</x:v>
      </x:c>
      <x:c r="C386" s="8" t="str">
        <x:v>厨房与用餐</x:v>
      </x:c>
      <x:c r="D386" s="8" t="str">
        <x:v>早期争议复核导出.user_type</x:v>
      </x:c>
      <x:c r="E386" s="8" t="str">
        <x:v>厨房与用餐</x:v>
      </x:c>
      <x:c r="F386" s="8" t="str">
        <x:v>厨房与用餐</x:v>
      </x:c>
      <x:c r="G386" s="8" t="n">
        <x:v>0</x:v>
      </x:c>
      <x:c r="H386" s="8" t="n">
        <x:v>0</x:v>
      </x:c>
      <x:c r="I386" s="8" t="n">
        <x:v>0</x:v>
      </x:c>
      <x:c r="J386" s="8" t="n">
        <x:v>19</x:v>
      </x:c>
      <x:c r="K386" s="8" t="str">
        <x:v>["G130"]</x:v>
      </x:c>
      <x:c r="L386" s="8" t="str">
        <x:v>https://github.com/Sparkling-Flames/3D_Manhattan_label/blob/844a4694627e1eacc6bfb48911897335e48ecc17/data/mp3d_layout/valid/img/pa4otMbVnkk_0e800fa7378b455a8054fbd02497fa6e.png</x:v>
      </x:c>
      <x:c r="M386" s="8" t="str">
        <x:v>pa4otMbVnkk_0e800fa7378b455a8054fbd02497fa6e</x:v>
      </x:c>
    </x:row>
    <x:row r="387" ht="44" customHeight="1">
      <x:c r="A387" s="8" t="str">
        <x:v>pa4otMbVnkk</x:v>
      </x:c>
      <x:c r="B387" s="8" t="n">
        <x:v>3</x:v>
      </x:c>
      <x:c r="C387" s="8" t="str">
        <x:v>通行与连接</x:v>
      </x:c>
      <x:c r="D387" s="8" t="str">
        <x:v>早期争议复核导出.user_type</x:v>
      </x:c>
      <x:c r="E387" s="8" t="str">
        <x:v>通行与连接</x:v>
      </x:c>
      <x:c r="F387" s="8" t="str">
        <x:v>通行与连接</x:v>
      </x:c>
      <x:c r="G387" s="8" t="n">
        <x:v>0</x:v>
      </x:c>
      <x:c r="H387" s="8" t="n">
        <x:v>0</x:v>
      </x:c>
      <x:c r="I387" s="8" t="n">
        <x:v>0</x:v>
      </x:c>
      <x:c r="J387" s="8" t="n">
        <x:v>19</x:v>
      </x:c>
      <x:c r="K387" s="8" t="str">
        <x:v>["G131"]</x:v>
      </x:c>
      <x:c r="L387" s="8" t="str">
        <x:v>https://github.com/Sparkling-Flames/3D_Manhattan_label/blob/844a4694627e1eacc6bfb48911897335e48ecc17/data/mp3d_layout/valid/img/pa4otMbVnkk_23d65a083f87438a8b5298466e34d62d.png</x:v>
      </x:c>
      <x:c r="M387" s="8" t="str">
        <x:v>pa4otMbVnkk_23d65a083f87438a8b5298466e34d62d</x:v>
      </x:c>
    </x:row>
    <x:row r="388" ht="44" customHeight="1">
      <x:c r="A388" s="8" t="str">
        <x:v>pa4otMbVnkk</x:v>
      </x:c>
      <x:c r="B388" s="8" t="n">
        <x:v>4</x:v>
      </x:c>
      <x:c r="C388" s="8" t="str">
        <x:v>卧室</x:v>
      </x:c>
      <x:c r="D388" s="8" t="str">
        <x:v>早期争议复核导出.user_type</x:v>
      </x:c>
      <x:c r="E388" s="8" t="str">
        <x:v>卧室</x:v>
      </x:c>
      <x:c r="F388" s="8" t="str">
        <x:v>卧室</x:v>
      </x:c>
      <x:c r="G388" s="8" t="n">
        <x:v>0</x:v>
      </x:c>
      <x:c r="H388" s="8" t="n">
        <x:v>0</x:v>
      </x:c>
      <x:c r="I388" s="8" t="n">
        <x:v>0</x:v>
      </x:c>
      <x:c r="J388" s="8" t="n">
        <x:v>19</x:v>
      </x:c>
      <x:c r="K388" s="8" t="str">
        <x:v>["G132"]</x:v>
      </x:c>
      <x:c r="L388" s="8" t="str">
        <x:v>https://github.com/Sparkling-Flames/3D_Manhattan_label/blob/844a4694627e1eacc6bfb48911897335e48ecc17/data/mp3d_layout/valid/img/pa4otMbVnkk_25659e521aac49daadb7762ba87cb2b6.png</x:v>
      </x:c>
      <x:c r="M388" s="8" t="str">
        <x:v>pa4otMbVnkk_25659e521aac49daadb7762ba87cb2b6</x:v>
      </x:c>
    </x:row>
    <x:row r="389" ht="44" customHeight="1">
      <x:c r="A389" s="8" t="str">
        <x:v>pa4otMbVnkk</x:v>
      </x:c>
      <x:c r="B389" s="8" t="n">
        <x:v>5</x:v>
      </x:c>
      <x:c r="C389" s="8" t="str">
        <x:v>起居与休闲</x:v>
      </x:c>
      <x:c r="D389" s="8" t="str">
        <x:v>早期争议复核导出.user_type</x:v>
      </x:c>
      <x:c r="E389" s="8" t="str">
        <x:v>起居与休闲</x:v>
      </x:c>
      <x:c r="F389" s="8" t="str"/>
      <x:c r="G389" s="8" t="n">
        <x:v>2</x:v>
      </x:c>
      <x:c r="H389" s="8" t="n">
        <x:v>2</x:v>
      </x:c>
      <x:c r="I389" s="8" t="n">
        <x:v>0</x:v>
      </x:c>
      <x:c r="J389" s="8" t="n">
        <x:v>17</x:v>
      </x:c>
      <x:c r="K389" s="8" t="str">
        <x:v>["G133", "G134"]</x:v>
      </x:c>
      <x:c r="L389" s="8" t="str">
        <x:v>https://github.com/Sparkling-Flames/3D_Manhattan_label/blob/844a4694627e1eacc6bfb48911897335e48ecc17/data/mp3d_layout/valid/img/pa4otMbVnkk_270f6920ec0f48c391bca974b356bc3b.png</x:v>
      </x:c>
      <x:c r="M389" s="8" t="str">
        <x:v>pa4otMbVnkk_270f6920ec0f48c391bca974b356bc3b</x:v>
      </x:c>
    </x:row>
    <x:row r="390" ht="44" customHeight="1">
      <x:c r="A390" s="8" t="str">
        <x:v>pa4otMbVnkk</x:v>
      </x:c>
      <x:c r="B390" s="8" t="n">
        <x:v>6</x:v>
      </x:c>
      <x:c r="C390" s="8" t="str">
        <x:v>通行与连接</x:v>
      </x:c>
      <x:c r="D390" s="8" t="str">
        <x:v>早期争议复核导出.user_type</x:v>
      </x:c>
      <x:c r="E390" s="8" t="str">
        <x:v>通行与连接</x:v>
      </x:c>
      <x:c r="F390" s="8" t="str">
        <x:v>通行与连接</x:v>
      </x:c>
      <x:c r="G390" s="8" t="n">
        <x:v>1</x:v>
      </x:c>
      <x:c r="H390" s="8" t="n">
        <x:v>1</x:v>
      </x:c>
      <x:c r="I390" s="8" t="n">
        <x:v>0</x:v>
      </x:c>
      <x:c r="J390" s="8" t="n">
        <x:v>18</x:v>
      </x:c>
      <x:c r="K390" s="8" t="str">
        <x:v>["G135"]</x:v>
      </x:c>
      <x:c r="L390" s="8" t="str">
        <x:v>https://github.com/Sparkling-Flames/3D_Manhattan_label/blob/844a4694627e1eacc6bfb48911897335e48ecc17/data/mp3d_layout/valid/img/pa4otMbVnkk_3ad5d0784b1442b6a728bb7dec3d50e0.png</x:v>
      </x:c>
      <x:c r="M390" s="8" t="str">
        <x:v>pa4otMbVnkk_3ad5d0784b1442b6a728bb7dec3d50e0</x:v>
      </x:c>
    </x:row>
    <x:row r="391" ht="44" customHeight="1">
      <x:c r="A391" s="8" t="str">
        <x:v>pa4otMbVnkk</x:v>
      </x:c>
      <x:c r="B391" s="8" t="n">
        <x:v>7</x:v>
      </x:c>
      <x:c r="C391" s="8" t="str">
        <x:v>起居与休闲</x:v>
      </x:c>
      <x:c r="D391" s="8" t="str">
        <x:v>早期争议复核导出.user_type</x:v>
      </x:c>
      <x:c r="E391" s="8" t="str">
        <x:v>起居与休闲</x:v>
      </x:c>
      <x:c r="F391" s="8" t="str">
        <x:v>起居与休闲</x:v>
      </x:c>
      <x:c r="G391" s="8" t="n">
        <x:v>0</x:v>
      </x:c>
      <x:c r="H391" s="8" t="n">
        <x:v>0</x:v>
      </x:c>
      <x:c r="I391" s="8" t="n">
        <x:v>0</x:v>
      </x:c>
      <x:c r="J391" s="8" t="n">
        <x:v>19</x:v>
      </x:c>
      <x:c r="K391" s="8" t="str">
        <x:v>["G136"]</x:v>
      </x:c>
      <x:c r="L391" s="8" t="str">
        <x:v>https://github.com/Sparkling-Flames/3D_Manhattan_label/blob/844a4694627e1eacc6bfb48911897335e48ecc17/data/mp3d_layout/valid/img/pa4otMbVnkk_3df9a5180b94479997b19a8823f31eab.png</x:v>
      </x:c>
      <x:c r="M391" s="8" t="str">
        <x:v>pa4otMbVnkk_3df9a5180b94479997b19a8823f31eab</x:v>
      </x:c>
    </x:row>
    <x:row r="392" ht="44" customHeight="1">
      <x:c r="A392" s="8" t="str">
        <x:v>pa4otMbVnkk</x:v>
      </x:c>
      <x:c r="B392" s="8" t="n">
        <x:v>8</x:v>
      </x:c>
      <x:c r="C392" s="8" t="str">
        <x:v>通行与连接</x:v>
      </x:c>
      <x:c r="D392" s="8" t="str">
        <x:v>早期争议复核导出.user_type</x:v>
      </x:c>
      <x:c r="E392" s="8" t="str">
        <x:v>通行与连接</x:v>
      </x:c>
      <x:c r="F392" s="8" t="str">
        <x:v>通行与连接</x:v>
      </x:c>
      <x:c r="G392" s="8" t="n">
        <x:v>0</x:v>
      </x:c>
      <x:c r="H392" s="8" t="n">
        <x:v>0</x:v>
      </x:c>
      <x:c r="I392" s="8" t="n">
        <x:v>0</x:v>
      </x:c>
      <x:c r="J392" s="8" t="n">
        <x:v>19</x:v>
      </x:c>
      <x:c r="K392" s="8" t="str">
        <x:v>["G137"]</x:v>
      </x:c>
      <x:c r="L392" s="8" t="str">
        <x:v>https://github.com/Sparkling-Flames/3D_Manhattan_label/blob/844a4694627e1eacc6bfb48911897335e48ecc17/data/mp3d_layout/valid/img/pa4otMbVnkk_42218dacb31045bfbc70cd57d1b69a84.png</x:v>
      </x:c>
      <x:c r="M392" s="8" t="str">
        <x:v>pa4otMbVnkk_42218dacb31045bfbc70cd57d1b69a84</x:v>
      </x:c>
    </x:row>
    <x:row r="393" ht="44" customHeight="1">
      <x:c r="A393" s="8" t="str">
        <x:v>pa4otMbVnkk</x:v>
      </x:c>
      <x:c r="B393" s="8" t="n">
        <x:v>9</x:v>
      </x:c>
      <x:c r="C393" s="8" t="str">
        <x:v>卧室</x:v>
      </x:c>
      <x:c r="D393" s="8" t="str">
        <x:v>早期争议复核导出.user_type</x:v>
      </x:c>
      <x:c r="E393" s="8" t="str">
        <x:v>卧室</x:v>
      </x:c>
      <x:c r="F393" s="8" t="str">
        <x:v>卧室</x:v>
      </x:c>
      <x:c r="G393" s="8" t="n">
        <x:v>2</x:v>
      </x:c>
      <x:c r="H393" s="8" t="n">
        <x:v>2</x:v>
      </x:c>
      <x:c r="I393" s="8" t="n">
        <x:v>0</x:v>
      </x:c>
      <x:c r="J393" s="8" t="n">
        <x:v>17</x:v>
      </x:c>
      <x:c r="K393" s="8" t="str">
        <x:v>["G138"]</x:v>
      </x:c>
      <x:c r="L393" s="8" t="str">
        <x:v>https://github.com/Sparkling-Flames/3D_Manhattan_label/blob/844a4694627e1eacc6bfb48911897335e48ecc17/data/mp3d_layout/valid/img/pa4otMbVnkk_447755d931aa401097d8c0952a22b17e.png</x:v>
      </x:c>
      <x:c r="M393" s="8" t="str">
        <x:v>pa4otMbVnkk_447755d931aa401097d8c0952a22b17e</x:v>
      </x:c>
    </x:row>
    <x:row r="394" ht="44" customHeight="1">
      <x:c r="A394" s="8" t="str">
        <x:v>pa4otMbVnkk</x:v>
      </x:c>
      <x:c r="B394" s="8" t="n">
        <x:v>10</x:v>
      </x:c>
      <x:c r="C394" s="8" t="str">
        <x:v>厨房与用餐</x:v>
      </x:c>
      <x:c r="D394" s="8" t="str">
        <x:v>早期争议复核导出.user_type</x:v>
      </x:c>
      <x:c r="E394" s="8" t="str">
        <x:v>厨房与用餐</x:v>
      </x:c>
      <x:c r="F394" s="8" t="str">
        <x:v>厨房与用餐</x:v>
      </x:c>
      <x:c r="G394" s="8" t="n">
        <x:v>3</x:v>
      </x:c>
      <x:c r="H394" s="8" t="n">
        <x:v>3</x:v>
      </x:c>
      <x:c r="I394" s="8" t="n">
        <x:v>0</x:v>
      </x:c>
      <x:c r="J394" s="8" t="n">
        <x:v>16</x:v>
      </x:c>
      <x:c r="K394" s="8" t="str">
        <x:v>[]</x:v>
      </x:c>
      <x:c r="L394" s="8" t="str">
        <x:v>https://github.com/Sparkling-Flames/3D_Manhattan_label/blob/844a4694627e1eacc6bfb48911897335e48ecc17/data/mp3d_layout/valid/img/pa4otMbVnkk_48321c1bb20244f1b43b2c41b4dc9657.png</x:v>
      </x:c>
      <x:c r="M394" s="8" t="str">
        <x:v>pa4otMbVnkk_48321c1bb20244f1b43b2c41b4dc9657</x:v>
      </x:c>
    </x:row>
    <x:row r="395" ht="44" customHeight="1">
      <x:c r="A395" s="8" t="str">
        <x:v>pa4otMbVnkk</x:v>
      </x:c>
      <x:c r="B395" s="8" t="n">
        <x:v>11</x:v>
      </x:c>
      <x:c r="C395" s="8" t="str">
        <x:v>卧室</x:v>
      </x:c>
      <x:c r="D395" s="8" t="str">
        <x:v>早期争议复核导出.user_type</x:v>
      </x:c>
      <x:c r="E395" s="8" t="str">
        <x:v>卧室</x:v>
      </x:c>
      <x:c r="F395" s="8" t="str"/>
      <x:c r="G395" s="8" t="n">
        <x:v>1</x:v>
      </x:c>
      <x:c r="H395" s="8" t="n">
        <x:v>1</x:v>
      </x:c>
      <x:c r="I395" s="8" t="n">
        <x:v>0</x:v>
      </x:c>
      <x:c r="J395" s="8" t="n">
        <x:v>18</x:v>
      </x:c>
      <x:c r="K395" s="8" t="str">
        <x:v>["G139"]</x:v>
      </x:c>
      <x:c r="L395" s="8" t="str">
        <x:v>https://github.com/Sparkling-Flames/3D_Manhattan_label/blob/844a4694627e1eacc6bfb48911897335e48ecc17/data/mp3d_layout/valid/img/pa4otMbVnkk_4fbdfc08c934474ea9a04977f9081d0e.png</x:v>
      </x:c>
      <x:c r="M395" s="8" t="str">
        <x:v>pa4otMbVnkk_4fbdfc08c934474ea9a04977f9081d0e</x:v>
      </x:c>
    </x:row>
    <x:row r="396" ht="44" customHeight="1">
      <x:c r="A396" s="8" t="str">
        <x:v>pa4otMbVnkk</x:v>
      </x:c>
      <x:c r="B396" s="8" t="n">
        <x:v>12</x:v>
      </x:c>
      <x:c r="C396" s="8" t="str">
        <x:v>卫浴</x:v>
      </x:c>
      <x:c r="D396" s="8" t="str">
        <x:v>早期争议复核导出.user_type</x:v>
      </x:c>
      <x:c r="E396" s="8" t="str">
        <x:v>卫浴</x:v>
      </x:c>
      <x:c r="F396" s="8" t="str">
        <x:v>卫浴</x:v>
      </x:c>
      <x:c r="G396" s="8" t="n">
        <x:v>0</x:v>
      </x:c>
      <x:c r="H396" s="8" t="n">
        <x:v>0</x:v>
      </x:c>
      <x:c r="I396" s="8" t="n">
        <x:v>0</x:v>
      </x:c>
      <x:c r="J396" s="8" t="n">
        <x:v>19</x:v>
      </x:c>
      <x:c r="K396" s="8" t="str">
        <x:v>["G140"]</x:v>
      </x:c>
      <x:c r="L396" s="8" t="str">
        <x:v>https://github.com/Sparkling-Flames/3D_Manhattan_label/blob/844a4694627e1eacc6bfb48911897335e48ecc17/data/mp3d_layout/valid/img/pa4otMbVnkk_56189c4a26dd486d91b853fc8a7ffb6b.png</x:v>
      </x:c>
      <x:c r="M396" s="8" t="str">
        <x:v>pa4otMbVnkk_56189c4a26dd486d91b853fc8a7ffb6b</x:v>
      </x:c>
    </x:row>
    <x:row r="397" ht="44" customHeight="1">
      <x:c r="A397" s="8" t="str">
        <x:v>pa4otMbVnkk</x:v>
      </x:c>
      <x:c r="B397" s="8" t="n">
        <x:v>13</x:v>
      </x:c>
      <x:c r="C397" s="8" t="str">
        <x:v>厨房与用餐</x:v>
      </x:c>
      <x:c r="D397" s="8" t="str">
        <x:v>早期争议复核导出.user_type</x:v>
      </x:c>
      <x:c r="E397" s="8" t="str">
        <x:v>厨房与用餐</x:v>
      </x:c>
      <x:c r="F397" s="8" t="str">
        <x:v>厨房与用餐</x:v>
      </x:c>
      <x:c r="G397" s="8" t="n">
        <x:v>0</x:v>
      </x:c>
      <x:c r="H397" s="8" t="n">
        <x:v>0</x:v>
      </x:c>
      <x:c r="I397" s="8" t="n">
        <x:v>0</x:v>
      </x:c>
      <x:c r="J397" s="8" t="n">
        <x:v>19</x:v>
      </x:c>
      <x:c r="K397" s="8" t="str">
        <x:v>["G130"]</x:v>
      </x:c>
      <x:c r="L397" s="8" t="str">
        <x:v>https://github.com/Sparkling-Flames/3D_Manhattan_label/blob/844a4694627e1eacc6bfb48911897335e48ecc17/data/mp3d_layout/valid/img/pa4otMbVnkk_5cd7afbe84aa4a13a13b45c369e39731.png</x:v>
      </x:c>
      <x:c r="M397" s="8" t="str">
        <x:v>pa4otMbVnkk_5cd7afbe84aa4a13a13b45c369e39731</x:v>
      </x:c>
    </x:row>
    <x:row r="398" ht="44" customHeight="1">
      <x:c r="A398" s="8" t="str">
        <x:v>pa4otMbVnkk</x:v>
      </x:c>
      <x:c r="B398" s="8" t="n">
        <x:v>14</x:v>
      </x:c>
      <x:c r="C398" s="8" t="str">
        <x:v>待拆解(null)</x:v>
      </x:c>
      <x:c r="D398" s="8" t="str">
        <x:v>早期争议复核导出.user_type</x:v>
      </x:c>
      <x:c r="E398" s="8" t="str">
        <x:v>复合／待定  , 厨房 客厅</x:v>
      </x:c>
      <x:c r="F398" s="8" t="str"/>
      <x:c r="G398" s="8" t="n">
        <x:v>6</x:v>
      </x:c>
      <x:c r="H398" s="8" t="n">
        <x:v>6</x:v>
      </x:c>
      <x:c r="I398" s="8" t="n">
        <x:v>0</x:v>
      </x:c>
      <x:c r="J398" s="8" t="n">
        <x:v>13</x:v>
      </x:c>
      <x:c r="K398" s="8" t="str">
        <x:v>["G133"]</x:v>
      </x:c>
      <x:c r="L398" s="8" t="str">
        <x:v>https://github.com/Sparkling-Flames/3D_Manhattan_label/blob/844a4694627e1eacc6bfb48911897335e48ecc17/data/mp3d_layout/valid/img/pa4otMbVnkk_5d1adb544bb14217ba5ded2eb82cd8e3.png</x:v>
      </x:c>
      <x:c r="M398" s="8" t="str">
        <x:v>pa4otMbVnkk_5d1adb544bb14217ba5ded2eb82cd8e3</x:v>
      </x:c>
    </x:row>
    <x:row r="399" ht="44" customHeight="1">
      <x:c r="A399" s="8" t="str">
        <x:v>pa4otMbVnkk</x:v>
      </x:c>
      <x:c r="B399" s="8" t="n">
        <x:v>15</x:v>
      </x:c>
      <x:c r="C399" s="8" t="str">
        <x:v>卫浴</x:v>
      </x:c>
      <x:c r="D399" s="8" t="str">
        <x:v>早期争议复核导出.user_type</x:v>
      </x:c>
      <x:c r="E399" s="8" t="str">
        <x:v>卫浴</x:v>
      </x:c>
      <x:c r="F399" s="8" t="str">
        <x:v>卫浴</x:v>
      </x:c>
      <x:c r="G399" s="8" t="n">
        <x:v>0</x:v>
      </x:c>
      <x:c r="H399" s="8" t="n">
        <x:v>0</x:v>
      </x:c>
      <x:c r="I399" s="8" t="n">
        <x:v>0</x:v>
      </x:c>
      <x:c r="J399" s="8" t="n">
        <x:v>19</x:v>
      </x:c>
      <x:c r="K399" s="8" t="str">
        <x:v>["G140"]</x:v>
      </x:c>
      <x:c r="L399" s="8" t="str">
        <x:v>https://github.com/Sparkling-Flames/3D_Manhattan_label/blob/844a4694627e1eacc6bfb48911897335e48ecc17/data/mp3d_layout/valid/img/pa4otMbVnkk_616baa976df7493c8b5d1516fa55aa75.png</x:v>
      </x:c>
      <x:c r="M399" s="8" t="str">
        <x:v>pa4otMbVnkk_616baa976df7493c8b5d1516fa55aa75</x:v>
      </x:c>
    </x:row>
    <x:row r="400" ht="44" customHeight="1">
      <x:c r="A400" s="8" t="str">
        <x:v>pa4otMbVnkk</x:v>
      </x:c>
      <x:c r="B400" s="8" t="n">
        <x:v>16</x:v>
      </x:c>
      <x:c r="C400" s="8" t="str">
        <x:v>通行与连接</x:v>
      </x:c>
      <x:c r="D400" s="8" t="str">
        <x:v>早期争议复核导出.user_type</x:v>
      </x:c>
      <x:c r="E400" s="8" t="str">
        <x:v>通行与连接</x:v>
      </x:c>
      <x:c r="F400" s="8" t="str">
        <x:v>通行与连接</x:v>
      </x:c>
      <x:c r="G400" s="8" t="n">
        <x:v>0</x:v>
      </x:c>
      <x:c r="H400" s="8" t="n">
        <x:v>0</x:v>
      </x:c>
      <x:c r="I400" s="8" t="n">
        <x:v>0</x:v>
      </x:c>
      <x:c r="J400" s="8" t="n">
        <x:v>19</x:v>
      </x:c>
      <x:c r="K400" s="8" t="str">
        <x:v>[]</x:v>
      </x:c>
      <x:c r="L400" s="8" t="str">
        <x:v>https://github.com/Sparkling-Flames/3D_Manhattan_label/blob/844a4694627e1eacc6bfb48911897335e48ecc17/data/mp3d_layout/valid/img/pa4otMbVnkk_637126917ec84d1aa32c986159ce2dc9.png</x:v>
      </x:c>
      <x:c r="M400" s="8" t="str">
        <x:v>pa4otMbVnkk_637126917ec84d1aa32c986159ce2dc9</x:v>
      </x:c>
    </x:row>
    <x:row r="401" ht="44" customHeight="1">
      <x:c r="A401" s="8" t="str">
        <x:v>pa4otMbVnkk</x:v>
      </x:c>
      <x:c r="B401" s="8" t="n">
        <x:v>17</x:v>
      </x:c>
      <x:c r="C401" s="8" t="str">
        <x:v>起居与休闲</x:v>
      </x:c>
      <x:c r="D401" s="8" t="str">
        <x:v>早期争议复核导出.user_type</x:v>
      </x:c>
      <x:c r="E401" s="8" t="str">
        <x:v>起居与休闲</x:v>
      </x:c>
      <x:c r="F401" s="8" t="str">
        <x:v>起居与休闲</x:v>
      </x:c>
      <x:c r="G401" s="8" t="n">
        <x:v>3</x:v>
      </x:c>
      <x:c r="H401" s="8" t="n">
        <x:v>3</x:v>
      </x:c>
      <x:c r="I401" s="8" t="n">
        <x:v>0</x:v>
      </x:c>
      <x:c r="J401" s="8" t="n">
        <x:v>16</x:v>
      </x:c>
      <x:c r="K401" s="8" t="str">
        <x:v>["G141"]</x:v>
      </x:c>
      <x:c r="L401" s="8" t="str">
        <x:v>https://github.com/Sparkling-Flames/3D_Manhattan_label/blob/844a4694627e1eacc6bfb48911897335e48ecc17/data/mp3d_layout/valid/img/pa4otMbVnkk_63bde48e974d42e59a664bc3b5d9566a.png</x:v>
      </x:c>
      <x:c r="M401" s="8" t="str">
        <x:v>pa4otMbVnkk_63bde48e974d42e59a664bc3b5d9566a</x:v>
      </x:c>
    </x:row>
    <x:row r="402" ht="44" customHeight="1">
      <x:c r="A402" s="8" t="str">
        <x:v>pa4otMbVnkk</x:v>
      </x:c>
      <x:c r="B402" s="8" t="n">
        <x:v>18</x:v>
      </x:c>
      <x:c r="C402" s="8" t="str">
        <x:v>起居与休闲</x:v>
      </x:c>
      <x:c r="D402" s="8" t="str">
        <x:v>早期争议复核导出.user_type</x:v>
      </x:c>
      <x:c r="E402" s="8" t="str">
        <x:v>起居与休闲</x:v>
      </x:c>
      <x:c r="F402" s="8" t="str">
        <x:v>起居与休闲</x:v>
      </x:c>
      <x:c r="G402" s="8" t="n">
        <x:v>1</x:v>
      </x:c>
      <x:c r="H402" s="8" t="n">
        <x:v>1</x:v>
      </x:c>
      <x:c r="I402" s="8" t="n">
        <x:v>0</x:v>
      </x:c>
      <x:c r="J402" s="8" t="n">
        <x:v>18</x:v>
      </x:c>
      <x:c r="K402" s="8" t="str">
        <x:v>["G142"]</x:v>
      </x:c>
      <x:c r="L402" s="8" t="str">
        <x:v>https://github.com/Sparkling-Flames/3D_Manhattan_label/blob/844a4694627e1eacc6bfb48911897335e48ecc17/data/mp3d_layout/valid/img/pa4otMbVnkk_64ba4f267872432abdcb00af002649d5.png</x:v>
      </x:c>
      <x:c r="M402" s="8" t="str">
        <x:v>pa4otMbVnkk_64ba4f267872432abdcb00af002649d5</x:v>
      </x:c>
    </x:row>
    <x:row r="403" ht="44" customHeight="1">
      <x:c r="A403" s="8" t="str">
        <x:v>pa4otMbVnkk</x:v>
      </x:c>
      <x:c r="B403" s="8" t="n">
        <x:v>19</x:v>
      </x:c>
      <x:c r="C403" s="8" t="str">
        <x:v>起居与休闲</x:v>
      </x:c>
      <x:c r="D403" s="8" t="str">
        <x:v>早期争议复核导出.user_type</x:v>
      </x:c>
      <x:c r="E403" s="8" t="str">
        <x:v>起居与休闲</x:v>
      </x:c>
      <x:c r="F403" s="8" t="str">
        <x:v>起居与休闲</x:v>
      </x:c>
      <x:c r="G403" s="8" t="n">
        <x:v>0</x:v>
      </x:c>
      <x:c r="H403" s="8" t="n">
        <x:v>0</x:v>
      </x:c>
      <x:c r="I403" s="8" t="n">
        <x:v>0</x:v>
      </x:c>
      <x:c r="J403" s="8" t="n">
        <x:v>19</x:v>
      </x:c>
      <x:c r="K403" s="8" t="str">
        <x:v>["G136"]</x:v>
      </x:c>
      <x:c r="L403" s="8" t="str">
        <x:v>https://github.com/Sparkling-Flames/3D_Manhattan_label/blob/844a4694627e1eacc6bfb48911897335e48ecc17/data/mp3d_layout/valid/img/pa4otMbVnkk_7172b7e0aefe4e23a53449a4531ca5e3.png</x:v>
      </x:c>
      <x:c r="M403" s="8" t="str">
        <x:v>pa4otMbVnkk_7172b7e0aefe4e23a53449a4531ca5e3</x:v>
      </x:c>
    </x:row>
    <x:row r="404" ht="44" customHeight="1">
      <x:c r="A404" s="8" t="str">
        <x:v>pa4otMbVnkk</x:v>
      </x:c>
      <x:c r="B404" s="8" t="n">
        <x:v>20</x:v>
      </x:c>
      <x:c r="C404" s="8" t="str">
        <x:v>厨房与用餐</x:v>
      </x:c>
      <x:c r="D404" s="8" t="str">
        <x:v>早期争议复核导出.user_type</x:v>
      </x:c>
      <x:c r="E404" s="8" t="str">
        <x:v>厨房与用餐</x:v>
      </x:c>
      <x:c r="F404" s="8" t="str">
        <x:v>厨房与用餐</x:v>
      </x:c>
      <x:c r="G404" s="8" t="n">
        <x:v>0</x:v>
      </x:c>
      <x:c r="H404" s="8" t="n">
        <x:v>0</x:v>
      </x:c>
      <x:c r="I404" s="8" t="n">
        <x:v>0</x:v>
      </x:c>
      <x:c r="J404" s="8" t="n">
        <x:v>19</x:v>
      </x:c>
      <x:c r="K404" s="8" t="str">
        <x:v>["G130"]</x:v>
      </x:c>
      <x:c r="L404" s="8" t="str">
        <x:v>https://github.com/Sparkling-Flames/3D_Manhattan_label/blob/844a4694627e1eacc6bfb48911897335e48ecc17/data/mp3d_layout/valid/img/pa4otMbVnkk_78863f388bfc4e419e5d3454f1fecf3f.png</x:v>
      </x:c>
      <x:c r="M404" s="8" t="str">
        <x:v>pa4otMbVnkk_78863f388bfc4e419e5d3454f1fecf3f</x:v>
      </x:c>
    </x:row>
    <x:row r="405" ht="44" customHeight="1">
      <x:c r="A405" s="8" t="str">
        <x:v>pa4otMbVnkk</x:v>
      </x:c>
      <x:c r="B405" s="8" t="n">
        <x:v>21</x:v>
      </x:c>
      <x:c r="C405" s="8" t="str">
        <x:v>通行与连接</x:v>
      </x:c>
      <x:c r="D405" s="8" t="str">
        <x:v>早期争议复核导出.user_type</x:v>
      </x:c>
      <x:c r="E405" s="8" t="str">
        <x:v>通行与连接</x:v>
      </x:c>
      <x:c r="F405" s="8" t="str">
        <x:v>通行与连接</x:v>
      </x:c>
      <x:c r="G405" s="8" t="n">
        <x:v>0</x:v>
      </x:c>
      <x:c r="H405" s="8" t="n">
        <x:v>0</x:v>
      </x:c>
      <x:c r="I405" s="8" t="n">
        <x:v>0</x:v>
      </x:c>
      <x:c r="J405" s="8" t="n">
        <x:v>19</x:v>
      </x:c>
      <x:c r="K405" s="8" t="str">
        <x:v>["G131"]</x:v>
      </x:c>
      <x:c r="L405" s="8" t="str">
        <x:v>https://github.com/Sparkling-Flames/3D_Manhattan_label/blob/844a4694627e1eacc6bfb48911897335e48ecc17/data/mp3d_layout/valid/img/pa4otMbVnkk_78c162aad54a4b969d0b0813a86d43e4.png</x:v>
      </x:c>
      <x:c r="M405" s="8" t="str">
        <x:v>pa4otMbVnkk_78c162aad54a4b969d0b0813a86d43e4</x:v>
      </x:c>
    </x:row>
    <x:row r="406" ht="44" customHeight="1">
      <x:c r="A406" s="8" t="str">
        <x:v>pa4otMbVnkk</x:v>
      </x:c>
      <x:c r="B406" s="8" t="n">
        <x:v>22</x:v>
      </x:c>
      <x:c r="C406" s="8" t="str">
        <x:v>卧室</x:v>
      </x:c>
      <x:c r="D406" s="8" t="str">
        <x:v>早期争议复核导出.user_type</x:v>
      </x:c>
      <x:c r="E406" s="8" t="str">
        <x:v>卧室</x:v>
      </x:c>
      <x:c r="F406" s="8" t="str"/>
      <x:c r="G406" s="8" t="n">
        <x:v>0</x:v>
      </x:c>
      <x:c r="H406" s="8" t="n">
        <x:v>0</x:v>
      </x:c>
      <x:c r="I406" s="8" t="n">
        <x:v>0</x:v>
      </x:c>
      <x:c r="J406" s="8" t="n">
        <x:v>19</x:v>
      </x:c>
      <x:c r="K406" s="8" t="str">
        <x:v>["G139"]</x:v>
      </x:c>
      <x:c r="L406" s="8" t="str">
        <x:v>https://github.com/Sparkling-Flames/3D_Manhattan_label/blob/844a4694627e1eacc6bfb48911897335e48ecc17/data/mp3d_layout/valid/img/pa4otMbVnkk_7be30830c80b4fb3a83d5f956c07e143.png</x:v>
      </x:c>
      <x:c r="M406" s="8" t="str">
        <x:v>pa4otMbVnkk_7be30830c80b4fb3a83d5f956c07e143</x:v>
      </x:c>
    </x:row>
    <x:row r="407" ht="44" customHeight="1">
      <x:c r="A407" s="8" t="str">
        <x:v>pa4otMbVnkk</x:v>
      </x:c>
      <x:c r="B407" s="8" t="n">
        <x:v>23</x:v>
      </x:c>
      <x:c r="C407" s="8" t="str">
        <x:v>起居与休闲</x:v>
      </x:c>
      <x:c r="D407" s="8" t="str">
        <x:v>早期争议复核导出.user_type</x:v>
      </x:c>
      <x:c r="E407" s="8" t="str">
        <x:v>起居与休闲</x:v>
      </x:c>
      <x:c r="F407" s="8" t="str">
        <x:v>起居与休闲</x:v>
      </x:c>
      <x:c r="G407" s="8" t="n">
        <x:v>0</x:v>
      </x:c>
      <x:c r="H407" s="8" t="n">
        <x:v>0</x:v>
      </x:c>
      <x:c r="I407" s="8" t="n">
        <x:v>0</x:v>
      </x:c>
      <x:c r="J407" s="8" t="n">
        <x:v>19</x:v>
      </x:c>
      <x:c r="K407" s="8" t="str">
        <x:v>["G141"]</x:v>
      </x:c>
      <x:c r="L407" s="8" t="str">
        <x:v>https://github.com/Sparkling-Flames/3D_Manhattan_label/blob/844a4694627e1eacc6bfb48911897335e48ecc17/data/mp3d_layout/valid/img/pa4otMbVnkk_82f4e9ccd0ef4351a3d814f1222b03cc.png</x:v>
      </x:c>
      <x:c r="M407" s="8" t="str">
        <x:v>pa4otMbVnkk_82f4e9ccd0ef4351a3d814f1222b03cc</x:v>
      </x:c>
    </x:row>
    <x:row r="408" ht="44" customHeight="1">
      <x:c r="A408" s="8" t="str">
        <x:v>pa4otMbVnkk</x:v>
      </x:c>
      <x:c r="B408" s="8" t="n">
        <x:v>24</x:v>
      </x:c>
      <x:c r="C408" s="8" t="str">
        <x:v>卫浴</x:v>
      </x:c>
      <x:c r="D408" s="8" t="str">
        <x:v>早期争议复核导出.user_type</x:v>
      </x:c>
      <x:c r="E408" s="8" t="str">
        <x:v>卫浴</x:v>
      </x:c>
      <x:c r="F408" s="8" t="str">
        <x:v>卫浴</x:v>
      </x:c>
      <x:c r="G408" s="8" t="n">
        <x:v>0</x:v>
      </x:c>
      <x:c r="H408" s="8" t="n">
        <x:v>0</x:v>
      </x:c>
      <x:c r="I408" s="8" t="n">
        <x:v>0</x:v>
      </x:c>
      <x:c r="J408" s="8" t="n">
        <x:v>19</x:v>
      </x:c>
      <x:c r="K408" s="8" t="str">
        <x:v>[]</x:v>
      </x:c>
      <x:c r="L408" s="8" t="str">
        <x:v>https://github.com/Sparkling-Flames/3D_Manhattan_label/blob/844a4694627e1eacc6bfb48911897335e48ecc17/data/mp3d_layout/valid/img/pa4otMbVnkk_8370daaebb5145ee80f7e362fabc9d5b.png</x:v>
      </x:c>
      <x:c r="M408" s="8" t="str">
        <x:v>pa4otMbVnkk_8370daaebb5145ee80f7e362fabc9d5b</x:v>
      </x:c>
    </x:row>
    <x:row r="409" ht="44" customHeight="1">
      <x:c r="A409" s="8" t="str">
        <x:v>pa4otMbVnkk</x:v>
      </x:c>
      <x:c r="B409" s="8" t="n">
        <x:v>25</x:v>
      </x:c>
      <x:c r="C409" s="8" t="str">
        <x:v>起居与休闲</x:v>
      </x:c>
      <x:c r="D409" s="8" t="str">
        <x:v>早期争议复核导出.user_type</x:v>
      </x:c>
      <x:c r="E409" s="8" t="str">
        <x:v>起居与休闲</x:v>
      </x:c>
      <x:c r="F409" s="8" t="str">
        <x:v>起居与休闲</x:v>
      </x:c>
      <x:c r="G409" s="8" t="n">
        <x:v>0</x:v>
      </x:c>
      <x:c r="H409" s="8" t="n">
        <x:v>0</x:v>
      </x:c>
      <x:c r="I409" s="8" t="n">
        <x:v>0</x:v>
      </x:c>
      <x:c r="J409" s="8" t="n">
        <x:v>19</x:v>
      </x:c>
      <x:c r="K409" s="8" t="str">
        <x:v>["G141"]</x:v>
      </x:c>
      <x:c r="L409" s="8" t="str">
        <x:v>https://github.com/Sparkling-Flames/3D_Manhattan_label/blob/844a4694627e1eacc6bfb48911897335e48ecc17/data/mp3d_layout/valid/img/pa4otMbVnkk_867c64cd8f474949bcd87100dc18c2d4.png</x:v>
      </x:c>
      <x:c r="M409" s="8" t="str">
        <x:v>pa4otMbVnkk_867c64cd8f474949bcd87100dc18c2d4</x:v>
      </x:c>
    </x:row>
    <x:row r="410" ht="44" customHeight="1">
      <x:c r="A410" s="8" t="str">
        <x:v>pa4otMbVnkk</x:v>
      </x:c>
      <x:c r="B410" s="8" t="n">
        <x:v>26</x:v>
      </x:c>
      <x:c r="C410" s="8" t="str">
        <x:v>卧室</x:v>
      </x:c>
      <x:c r="D410" s="8" t="str">
        <x:v>早期争议复核导出.user_type</x:v>
      </x:c>
      <x:c r="E410" s="8" t="str">
        <x:v>卧室</x:v>
      </x:c>
      <x:c r="F410" s="8" t="str">
        <x:v>卧室</x:v>
      </x:c>
      <x:c r="G410" s="8" t="n">
        <x:v>0</x:v>
      </x:c>
      <x:c r="H410" s="8" t="n">
        <x:v>0</x:v>
      </x:c>
      <x:c r="I410" s="8" t="n">
        <x:v>0</x:v>
      </x:c>
      <x:c r="J410" s="8" t="n">
        <x:v>19</x:v>
      </x:c>
      <x:c r="K410" s="8" t="str">
        <x:v>["G138"]</x:v>
      </x:c>
      <x:c r="L410" s="8" t="str">
        <x:v>https://github.com/Sparkling-Flames/3D_Manhattan_label/blob/844a4694627e1eacc6bfb48911897335e48ecc17/data/mp3d_layout/valid/img/pa4otMbVnkk_88c758f7e35244fd8f5693913f329805.png</x:v>
      </x:c>
      <x:c r="M410" s="8" t="str">
        <x:v>pa4otMbVnkk_88c758f7e35244fd8f5693913f329805</x:v>
      </x:c>
    </x:row>
    <x:row r="411" ht="44" customHeight="1">
      <x:c r="A411" s="8" t="str">
        <x:v>pa4otMbVnkk</x:v>
      </x:c>
      <x:c r="B411" s="8" t="n">
        <x:v>27</x:v>
      </x:c>
      <x:c r="C411" s="8" t="str">
        <x:v>通行与连接</x:v>
      </x:c>
      <x:c r="D411" s="8" t="str">
        <x:v>早期争议复核导出.user_type</x:v>
      </x:c>
      <x:c r="E411" s="8" t="str">
        <x:v>通行与连接</x:v>
      </x:c>
      <x:c r="F411" s="8" t="str">
        <x:v>通行与连接</x:v>
      </x:c>
      <x:c r="G411" s="8" t="n">
        <x:v>0</x:v>
      </x:c>
      <x:c r="H411" s="8" t="n">
        <x:v>0</x:v>
      </x:c>
      <x:c r="I411" s="8" t="n">
        <x:v>0</x:v>
      </x:c>
      <x:c r="J411" s="8" t="n">
        <x:v>19</x:v>
      </x:c>
      <x:c r="K411" s="8" t="str">
        <x:v>[]</x:v>
      </x:c>
      <x:c r="L411" s="8" t="str">
        <x:v>https://github.com/Sparkling-Flames/3D_Manhattan_label/blob/844a4694627e1eacc6bfb48911897335e48ecc17/data/mp3d_layout/valid/img/pa4otMbVnkk_8c292f0d6db5479fb361ac01a935863a.png</x:v>
      </x:c>
      <x:c r="M411" s="8" t="str">
        <x:v>pa4otMbVnkk_8c292f0d6db5479fb361ac01a935863a</x:v>
      </x:c>
    </x:row>
    <x:row r="412" ht="44" customHeight="1">
      <x:c r="A412" s="8" t="str">
        <x:v>pa4otMbVnkk</x:v>
      </x:c>
      <x:c r="B412" s="8" t="n">
        <x:v>28</x:v>
      </x:c>
      <x:c r="C412" s="8" t="str">
        <x:v>卧室</x:v>
      </x:c>
      <x:c r="D412" s="8" t="str">
        <x:v>早期争议复核导出.user_type</x:v>
      </x:c>
      <x:c r="E412" s="8" t="str">
        <x:v>卧室</x:v>
      </x:c>
      <x:c r="F412" s="8" t="str"/>
      <x:c r="G412" s="8" t="n">
        <x:v>0</x:v>
      </x:c>
      <x:c r="H412" s="8" t="n">
        <x:v>0</x:v>
      </x:c>
      <x:c r="I412" s="8" t="n">
        <x:v>0</x:v>
      </x:c>
      <x:c r="J412" s="8" t="n">
        <x:v>19</x:v>
      </x:c>
      <x:c r="K412" s="8" t="str">
        <x:v>["G139"]</x:v>
      </x:c>
      <x:c r="L412" s="8" t="str">
        <x:v>https://github.com/Sparkling-Flames/3D_Manhattan_label/blob/844a4694627e1eacc6bfb48911897335e48ecc17/data/mp3d_layout/valid/img/pa4otMbVnkk_8d4d0f90d2b145648e952352535c0f50.png</x:v>
      </x:c>
      <x:c r="M412" s="8" t="str">
        <x:v>pa4otMbVnkk_8d4d0f90d2b145648e952352535c0f50</x:v>
      </x:c>
    </x:row>
    <x:row r="413" ht="44" customHeight="1">
      <x:c r="A413" s="8" t="str">
        <x:v>pa4otMbVnkk</x:v>
      </x:c>
      <x:c r="B413" s="8" t="n">
        <x:v>29</x:v>
      </x:c>
      <x:c r="C413" s="8" t="str">
        <x:v>起居与休闲</x:v>
      </x:c>
      <x:c r="D413" s="8" t="str">
        <x:v>早期争议复核导出.user_type</x:v>
      </x:c>
      <x:c r="E413" s="8" t="str">
        <x:v>起居与休闲</x:v>
      </x:c>
      <x:c r="F413" s="8" t="str">
        <x:v>起居与休闲</x:v>
      </x:c>
      <x:c r="G413" s="8" t="n">
        <x:v>0</x:v>
      </x:c>
      <x:c r="H413" s="8" t="n">
        <x:v>0</x:v>
      </x:c>
      <x:c r="I413" s="8" t="n">
        <x:v>0</x:v>
      </x:c>
      <x:c r="J413" s="8" t="n">
        <x:v>19</x:v>
      </x:c>
      <x:c r="K413" s="8" t="str">
        <x:v>["G141"]</x:v>
      </x:c>
      <x:c r="L413" s="8" t="str">
        <x:v>https://github.com/Sparkling-Flames/3D_Manhattan_label/blob/844a4694627e1eacc6bfb48911897335e48ecc17/data/mp3d_layout/valid/img/pa4otMbVnkk_8d9a72e210cd480a897945c465e5cade.png</x:v>
      </x:c>
      <x:c r="M413" s="8" t="str">
        <x:v>pa4otMbVnkk_8d9a72e210cd480a897945c465e5cade</x:v>
      </x:c>
    </x:row>
    <x:row r="414" ht="44" customHeight="1">
      <x:c r="A414" s="8" t="str">
        <x:v>pa4otMbVnkk</x:v>
      </x:c>
      <x:c r="B414" s="8" t="n">
        <x:v>30</x:v>
      </x:c>
      <x:c r="C414" s="8" t="str">
        <x:v>卧室</x:v>
      </x:c>
      <x:c r="D414" s="8" t="str">
        <x:v>早期争议复核导出.user_type</x:v>
      </x:c>
      <x:c r="E414" s="8" t="str">
        <x:v>卧室</x:v>
      </x:c>
      <x:c r="F414" s="8" t="str">
        <x:v>卧室</x:v>
      </x:c>
      <x:c r="G414" s="8" t="n">
        <x:v>0</x:v>
      </x:c>
      <x:c r="H414" s="8" t="n">
        <x:v>0</x:v>
      </x:c>
      <x:c r="I414" s="8" t="n">
        <x:v>0</x:v>
      </x:c>
      <x:c r="J414" s="8" t="n">
        <x:v>19</x:v>
      </x:c>
      <x:c r="K414" s="8" t="str">
        <x:v>["G132"]</x:v>
      </x:c>
      <x:c r="L414" s="8" t="str">
        <x:v>https://github.com/Sparkling-Flames/3D_Manhattan_label/blob/844a4694627e1eacc6bfb48911897335e48ecc17/data/mp3d_layout/valid/img/pa4otMbVnkk_915273ca375f43be9306ce29b7724c46.png</x:v>
      </x:c>
      <x:c r="M414" s="8" t="str">
        <x:v>pa4otMbVnkk_915273ca375f43be9306ce29b7724c46</x:v>
      </x:c>
    </x:row>
    <x:row r="415" ht="44" customHeight="1">
      <x:c r="A415" s="8" t="str">
        <x:v>pa4otMbVnkk</x:v>
      </x:c>
      <x:c r="B415" s="8" t="n">
        <x:v>31</x:v>
      </x:c>
      <x:c r="C415" s="8" t="str">
        <x:v>起居与休闲</x:v>
      </x:c>
      <x:c r="D415" s="8" t="str">
        <x:v>早期争议复核导出.user_type</x:v>
      </x:c>
      <x:c r="E415" s="8" t="str">
        <x:v>客厅</x:v>
      </x:c>
      <x:c r="F415" s="8" t="str">
        <x:v>起居与休闲</x:v>
      </x:c>
      <x:c r="G415" s="8" t="n">
        <x:v>0</x:v>
      </x:c>
      <x:c r="H415" s="8" t="n">
        <x:v>0</x:v>
      </x:c>
      <x:c r="I415" s="8" t="n">
        <x:v>0</x:v>
      </x:c>
      <x:c r="J415" s="8" t="n">
        <x:v>19</x:v>
      </x:c>
      <x:c r="K415" s="8" t="str">
        <x:v>["G143"]</x:v>
      </x:c>
      <x:c r="L415" s="8" t="str">
        <x:v>https://github.com/Sparkling-Flames/3D_Manhattan_label/blob/844a4694627e1eacc6bfb48911897335e48ecc17/data/mp3d_layout/valid/img/pa4otMbVnkk_9548771afcfd442a8dcb73d739a23b27.png</x:v>
      </x:c>
      <x:c r="M415" s="8" t="str">
        <x:v>pa4otMbVnkk_9548771afcfd442a8dcb73d739a23b27</x:v>
      </x:c>
    </x:row>
    <x:row r="416" ht="44" customHeight="1">
      <x:c r="A416" s="8" t="str">
        <x:v>pa4otMbVnkk</x:v>
      </x:c>
      <x:c r="B416" s="8" t="n">
        <x:v>32</x:v>
      </x:c>
      <x:c r="C416" s="8" t="str">
        <x:v>卧室</x:v>
      </x:c>
      <x:c r="D416" s="8" t="str">
        <x:v>早期争议复核导出.user_type</x:v>
      </x:c>
      <x:c r="E416" s="8" t="str">
        <x:v>卧室</x:v>
      </x:c>
      <x:c r="F416" s="8" t="str">
        <x:v>卧室</x:v>
      </x:c>
      <x:c r="G416" s="8" t="n">
        <x:v>0</x:v>
      </x:c>
      <x:c r="H416" s="8" t="n">
        <x:v>0</x:v>
      </x:c>
      <x:c r="I416" s="8" t="n">
        <x:v>0</x:v>
      </x:c>
      <x:c r="J416" s="8" t="n">
        <x:v>19</x:v>
      </x:c>
      <x:c r="K416" s="8" t="str">
        <x:v>["G132"]</x:v>
      </x:c>
      <x:c r="L416" s="8" t="str">
        <x:v>https://github.com/Sparkling-Flames/3D_Manhattan_label/blob/844a4694627e1eacc6bfb48911897335e48ecc17/data/mp3d_layout/valid/img/pa4otMbVnkk_a1243ae1c9e7407794464678be846819.png</x:v>
      </x:c>
      <x:c r="M416" s="8" t="str">
        <x:v>pa4otMbVnkk_a1243ae1c9e7407794464678be846819</x:v>
      </x:c>
    </x:row>
    <x:row r="417" ht="44" customHeight="1">
      <x:c r="A417" s="8" t="str">
        <x:v>pa4otMbVnkk</x:v>
      </x:c>
      <x:c r="B417" s="8" t="n">
        <x:v>33</x:v>
      </x:c>
      <x:c r="C417" s="8" t="str">
        <x:v>起居与休闲</x:v>
      </x:c>
      <x:c r="D417" s="8" t="str">
        <x:v>早期争议复核导出.user_type</x:v>
      </x:c>
      <x:c r="E417" s="8" t="str">
        <x:v>起居与休闲</x:v>
      </x:c>
      <x:c r="F417" s="8" t="str">
        <x:v>起居与休闲</x:v>
      </x:c>
      <x:c r="G417" s="8" t="n">
        <x:v>0</x:v>
      </x:c>
      <x:c r="H417" s="8" t="n">
        <x:v>0</x:v>
      </x:c>
      <x:c r="I417" s="8" t="n">
        <x:v>0</x:v>
      </x:c>
      <x:c r="J417" s="8" t="n">
        <x:v>19</x:v>
      </x:c>
      <x:c r="K417" s="8" t="str">
        <x:v>["G142"]</x:v>
      </x:c>
      <x:c r="L417" s="8" t="str">
        <x:v>https://github.com/Sparkling-Flames/3D_Manhattan_label/blob/844a4694627e1eacc6bfb48911897335e48ecc17/data/mp3d_layout/valid/img/pa4otMbVnkk_a390863f6b5f4b9497580c29d4d7bbe9.png</x:v>
      </x:c>
      <x:c r="M417" s="8" t="str">
        <x:v>pa4otMbVnkk_a390863f6b5f4b9497580c29d4d7bbe9</x:v>
      </x:c>
    </x:row>
    <x:row r="418" ht="44" customHeight="1">
      <x:c r="A418" s="8" t="str">
        <x:v>pa4otMbVnkk</x:v>
      </x:c>
      <x:c r="B418" s="8" t="n">
        <x:v>34</x:v>
      </x:c>
      <x:c r="C418" s="8" t="str">
        <x:v>卫浴</x:v>
      </x:c>
      <x:c r="D418" s="8" t="str">
        <x:v>早期争议复核导出.user_type</x:v>
      </x:c>
      <x:c r="E418" s="8" t="str">
        <x:v>卫浴</x:v>
      </x:c>
      <x:c r="F418" s="8" t="str">
        <x:v>卫浴</x:v>
      </x:c>
      <x:c r="G418" s="8" t="n">
        <x:v>0</x:v>
      </x:c>
      <x:c r="H418" s="8" t="n">
        <x:v>0</x:v>
      </x:c>
      <x:c r="I418" s="8" t="n">
        <x:v>0</x:v>
      </x:c>
      <x:c r="J418" s="8" t="n">
        <x:v>19</x:v>
      </x:c>
      <x:c r="K418" s="8" t="str">
        <x:v>["G137"]</x:v>
      </x:c>
      <x:c r="L418" s="8" t="str">
        <x:v>https://github.com/Sparkling-Flames/3D_Manhattan_label/blob/844a4694627e1eacc6bfb48911897335e48ecc17/data/mp3d_layout/valid/img/pa4otMbVnkk_a8e87c5da1414d998988fe3c29dba7d5.png</x:v>
      </x:c>
      <x:c r="M418" s="8" t="str">
        <x:v>pa4otMbVnkk_a8e87c5da1414d998988fe3c29dba7d5</x:v>
      </x:c>
    </x:row>
    <x:row r="419" ht="44" customHeight="1">
      <x:c r="A419" s="8" t="str">
        <x:v>pa4otMbVnkk</x:v>
      </x:c>
      <x:c r="B419" s="8" t="n">
        <x:v>35</x:v>
      </x:c>
      <x:c r="C419" s="8" t="str">
        <x:v>通行与连接</x:v>
      </x:c>
      <x:c r="D419" s="8" t="str">
        <x:v>早期争议复核导出.user_type</x:v>
      </x:c>
      <x:c r="E419" s="8" t="str">
        <x:v>通行与连接</x:v>
      </x:c>
      <x:c r="F419" s="8" t="str">
        <x:v>通行与连接</x:v>
      </x:c>
      <x:c r="G419" s="8" t="n">
        <x:v>0</x:v>
      </x:c>
      <x:c r="H419" s="8" t="n">
        <x:v>0</x:v>
      </x:c>
      <x:c r="I419" s="8" t="n">
        <x:v>0</x:v>
      </x:c>
      <x:c r="J419" s="8" t="n">
        <x:v>19</x:v>
      </x:c>
      <x:c r="K419" s="8" t="str">
        <x:v>["G135"]</x:v>
      </x:c>
      <x:c r="L419" s="8" t="str">
        <x:v>https://github.com/Sparkling-Flames/3D_Manhattan_label/blob/844a4694627e1eacc6bfb48911897335e48ecc17/data/mp3d_layout/valid/img/pa4otMbVnkk_ae57bfaab09c44a48a384367f50f3bd8.png</x:v>
      </x:c>
      <x:c r="M419" s="8" t="str">
        <x:v>pa4otMbVnkk_ae57bfaab09c44a48a384367f50f3bd8</x:v>
      </x:c>
    </x:row>
    <x:row r="420" ht="44" customHeight="1">
      <x:c r="A420" s="8" t="str">
        <x:v>pa4otMbVnkk</x:v>
      </x:c>
      <x:c r="B420" s="8" t="n">
        <x:v>36</x:v>
      </x:c>
      <x:c r="C420" s="8" t="str">
        <x:v>通行与连接</x:v>
      </x:c>
      <x:c r="D420" s="8" t="str">
        <x:v>早期争议复核导出.user_type</x:v>
      </x:c>
      <x:c r="E420" s="8" t="str">
        <x:v>通行与连接</x:v>
      </x:c>
      <x:c r="F420" s="8" t="str">
        <x:v>通行与连接</x:v>
      </x:c>
      <x:c r="G420" s="8" t="n">
        <x:v>0</x:v>
      </x:c>
      <x:c r="H420" s="8" t="n">
        <x:v>0</x:v>
      </x:c>
      <x:c r="I420" s="8" t="n">
        <x:v>0</x:v>
      </x:c>
      <x:c r="J420" s="8" t="n">
        <x:v>19</x:v>
      </x:c>
      <x:c r="K420" s="8" t="str">
        <x:v>["G135"]</x:v>
      </x:c>
      <x:c r="L420" s="8" t="str">
        <x:v>https://github.com/Sparkling-Flames/3D_Manhattan_label/blob/844a4694627e1eacc6bfb48911897335e48ecc17/data/mp3d_layout/valid/img/pa4otMbVnkk_b2bb0d47721a4f24af2c829bba560aa6.png</x:v>
      </x:c>
      <x:c r="M420" s="8" t="str">
        <x:v>pa4otMbVnkk_b2bb0d47721a4f24af2c829bba560aa6</x:v>
      </x:c>
    </x:row>
    <x:row r="421" ht="44" customHeight="1">
      <x:c r="A421" s="8" t="str">
        <x:v>pa4otMbVnkk</x:v>
      </x:c>
      <x:c r="B421" s="8" t="n">
        <x:v>37</x:v>
      </x:c>
      <x:c r="C421" s="8" t="str">
        <x:v>起居与休闲</x:v>
      </x:c>
      <x:c r="D421" s="8" t="str">
        <x:v>早期争议复核导出.user_type</x:v>
      </x:c>
      <x:c r="E421" s="8" t="str">
        <x:v>起居与休闲</x:v>
      </x:c>
      <x:c r="F421" s="8" t="str">
        <x:v>起居与休闲</x:v>
      </x:c>
      <x:c r="G421" s="8" t="n">
        <x:v>0</x:v>
      </x:c>
      <x:c r="H421" s="8" t="n">
        <x:v>0</x:v>
      </x:c>
      <x:c r="I421" s="8" t="n">
        <x:v>0</x:v>
      </x:c>
      <x:c r="J421" s="8" t="n">
        <x:v>19</x:v>
      </x:c>
      <x:c r="K421" s="8" t="str">
        <x:v>["G141"]</x:v>
      </x:c>
      <x:c r="L421" s="8" t="str">
        <x:v>https://github.com/Sparkling-Flames/3D_Manhattan_label/blob/844a4694627e1eacc6bfb48911897335e48ecc17/data/mp3d_layout/valid/img/pa4otMbVnkk_b8245307c038459a9df432be2341ec27.png</x:v>
      </x:c>
      <x:c r="M421" s="8" t="str">
        <x:v>pa4otMbVnkk_b8245307c038459a9df432be2341ec27</x:v>
      </x:c>
    </x:row>
    <x:row r="422" ht="44" customHeight="1">
      <x:c r="A422" s="8" t="str">
        <x:v>pa4otMbVnkk</x:v>
      </x:c>
      <x:c r="B422" s="8" t="n">
        <x:v>38</x:v>
      </x:c>
      <x:c r="C422" s="8" t="str">
        <x:v>卫浴</x:v>
      </x:c>
      <x:c r="D422" s="8" t="str">
        <x:v>后续41图亲审.current_classification.coarse_type</x:v>
      </x:c>
      <x:c r="E422" s="8" t="str">
        <x:v>复合／待定</x:v>
      </x:c>
      <x:c r="F422" s="8" t="str">
        <x:v>卫浴</x:v>
      </x:c>
      <x:c r="G422" s="8" t="n">
        <x:v>0</x:v>
      </x:c>
      <x:c r="H422" s="8" t="n">
        <x:v>0</x:v>
      </x:c>
      <x:c r="I422" s="8" t="n">
        <x:v>0</x:v>
      </x:c>
      <x:c r="J422" s="8" t="n">
        <x:v>19</x:v>
      </x:c>
      <x:c r="K422" s="8" t="str">
        <x:v>["G129"]</x:v>
      </x:c>
      <x:c r="L422" s="8" t="str">
        <x:v>https://github.com/Sparkling-Flames/3D_Manhattan_label/blob/844a4694627e1eacc6bfb48911897335e48ecc17/data/mp3d_layout/valid/img/pa4otMbVnkk_d02457f6d5b84e8fb43b49a52c81c78e.png</x:v>
      </x:c>
      <x:c r="M422" s="8" t="str">
        <x:v>pa4otMbVnkk_d02457f6d5b84e8fb43b49a52c81c78e</x:v>
      </x:c>
    </x:row>
    <x:row r="423" ht="44" customHeight="1">
      <x:c r="A423" s="8" t="str">
        <x:v>pa4otMbVnkk</x:v>
      </x:c>
      <x:c r="B423" s="8" t="n">
        <x:v>39</x:v>
      </x:c>
      <x:c r="C423" s="8" t="str">
        <x:v>卧室</x:v>
      </x:c>
      <x:c r="D423" s="8" t="str">
        <x:v>早期争议复核导出.user_type</x:v>
      </x:c>
      <x:c r="E423" s="8" t="str">
        <x:v>卧室</x:v>
      </x:c>
      <x:c r="F423" s="8" t="str">
        <x:v>卧室</x:v>
      </x:c>
      <x:c r="G423" s="8" t="n">
        <x:v>0</x:v>
      </x:c>
      <x:c r="H423" s="8" t="n">
        <x:v>0</x:v>
      </x:c>
      <x:c r="I423" s="8" t="n">
        <x:v>0</x:v>
      </x:c>
      <x:c r="J423" s="8" t="n">
        <x:v>19</x:v>
      </x:c>
      <x:c r="K423" s="8" t="str">
        <x:v>["G138"]</x:v>
      </x:c>
      <x:c r="L423" s="8" t="str">
        <x:v>https://github.com/Sparkling-Flames/3D_Manhattan_label/blob/844a4694627e1eacc6bfb48911897335e48ecc17/data/mp3d_layout/valid/img/pa4otMbVnkk_d0777438896f4ba59dc36ba96ebb003f.png</x:v>
      </x:c>
      <x:c r="M423" s="8" t="str">
        <x:v>pa4otMbVnkk_d0777438896f4ba59dc36ba96ebb003f</x:v>
      </x:c>
    </x:row>
    <x:row r="424" ht="44" customHeight="1">
      <x:c r="A424" s="8" t="str">
        <x:v>pa4otMbVnkk</x:v>
      </x:c>
      <x:c r="B424" s="8" t="n">
        <x:v>40</x:v>
      </x:c>
      <x:c r="C424" s="8" t="str">
        <x:v>卫浴</x:v>
      </x:c>
      <x:c r="D424" s="8" t="str">
        <x:v>早期争议复核导出.user_type</x:v>
      </x:c>
      <x:c r="E424" s="8" t="str">
        <x:v>卫浴</x:v>
      </x:c>
      <x:c r="F424" s="8" t="str">
        <x:v>卫浴</x:v>
      </x:c>
      <x:c r="G424" s="8" t="n">
        <x:v>0</x:v>
      </x:c>
      <x:c r="H424" s="8" t="n">
        <x:v>0</x:v>
      </x:c>
      <x:c r="I424" s="8" t="n">
        <x:v>0</x:v>
      </x:c>
      <x:c r="J424" s="8" t="n">
        <x:v>19</x:v>
      </x:c>
      <x:c r="K424" s="8" t="str">
        <x:v>["G144"]</x:v>
      </x:c>
      <x:c r="L424" s="8" t="str">
        <x:v>https://github.com/Sparkling-Flames/3D_Manhattan_label/blob/844a4694627e1eacc6bfb48911897335e48ecc17/data/mp3d_layout/valid/img/pa4otMbVnkk_e280c21ec51840e296d454c19fb4ac28.png</x:v>
      </x:c>
      <x:c r="M424" s="8" t="str">
        <x:v>pa4otMbVnkk_e280c21ec51840e296d454c19fb4ac28</x:v>
      </x:c>
    </x:row>
    <x:row r="425" ht="44" customHeight="1">
      <x:c r="A425" s="8" t="str">
        <x:v>pa4otMbVnkk</x:v>
      </x:c>
      <x:c r="B425" s="8" t="n">
        <x:v>41</x:v>
      </x:c>
      <x:c r="C425" s="8" t="str">
        <x:v>起居与休闲</x:v>
      </x:c>
      <x:c r="D425" s="8" t="str">
        <x:v>早期争议复核导出.user_type</x:v>
      </x:c>
      <x:c r="E425" s="8" t="str">
        <x:v>起居与休闲</x:v>
      </x:c>
      <x:c r="F425" s="8" t="str">
        <x:v>起居与休闲</x:v>
      </x:c>
      <x:c r="G425" s="8" t="n">
        <x:v>0</x:v>
      </x:c>
      <x:c r="H425" s="8" t="n">
        <x:v>0</x:v>
      </x:c>
      <x:c r="I425" s="8" t="n">
        <x:v>0</x:v>
      </x:c>
      <x:c r="J425" s="8" t="n">
        <x:v>19</x:v>
      </x:c>
      <x:c r="K425" s="8" t="str">
        <x:v>["G141"]</x:v>
      </x:c>
      <x:c r="L425" s="8" t="str">
        <x:v>https://github.com/Sparkling-Flames/3D_Manhattan_label/blob/844a4694627e1eacc6bfb48911897335e48ecc17/data/mp3d_layout/valid/img/pa4otMbVnkk_e976f604378648b3bd1d1ed1e9638294.png</x:v>
      </x:c>
      <x:c r="M425" s="8" t="str">
        <x:v>pa4otMbVnkk_e976f604378648b3bd1d1ed1e9638294</x:v>
      </x:c>
    </x:row>
    <x:row r="426" ht="44" customHeight="1">
      <x:c r="A426" s="8" t="str">
        <x:v>pa4otMbVnkk</x:v>
      </x:c>
      <x:c r="B426" s="8" t="n">
        <x:v>42</x:v>
      </x:c>
      <x:c r="C426" s="8" t="str">
        <x:v>厨房与用餐</x:v>
      </x:c>
      <x:c r="D426" s="8" t="str">
        <x:v>早期争议复核导出.user_type</x:v>
      </x:c>
      <x:c r="E426" s="8" t="str">
        <x:v>厨房与用餐</x:v>
      </x:c>
      <x:c r="F426" s="8" t="str">
        <x:v>厨房与用餐</x:v>
      </x:c>
      <x:c r="G426" s="8" t="n">
        <x:v>1</x:v>
      </x:c>
      <x:c r="H426" s="8" t="n">
        <x:v>1</x:v>
      </x:c>
      <x:c r="I426" s="8" t="n">
        <x:v>0</x:v>
      </x:c>
      <x:c r="J426" s="8" t="n">
        <x:v>18</x:v>
      </x:c>
      <x:c r="K426" s="8" t="str">
        <x:v>["G130"]</x:v>
      </x:c>
      <x:c r="L426" s="8" t="str">
        <x:v>https://github.com/Sparkling-Flames/3D_Manhattan_label/blob/844a4694627e1eacc6bfb48911897335e48ecc17/data/mp3d_layout/valid/img/pa4otMbVnkk_eac7bdc24b24474ba38b8b0b5acd62f6.png</x:v>
      </x:c>
      <x:c r="M426" s="8" t="str">
        <x:v>pa4otMbVnkk_eac7bdc24b24474ba38b8b0b5acd62f6</x:v>
      </x:c>
    </x:row>
    <x:row r="427" ht="44" customHeight="1">
      <x:c r="A427" s="8" t="str">
        <x:v>pa4otMbVnkk</x:v>
      </x:c>
      <x:c r="B427" s="8" t="n">
        <x:v>43</x:v>
      </x:c>
      <x:c r="C427" s="8" t="str">
        <x:v>起居与休闲</x:v>
      </x:c>
      <x:c r="D427" s="8" t="str">
        <x:v>早期争议复核导出.user_type</x:v>
      </x:c>
      <x:c r="E427" s="8" t="str">
        <x:v>客厅</x:v>
      </x:c>
      <x:c r="F427" s="8" t="str">
        <x:v>起居与休闲</x:v>
      </x:c>
      <x:c r="G427" s="8" t="n">
        <x:v>0</x:v>
      </x:c>
      <x:c r="H427" s="8" t="n">
        <x:v>0</x:v>
      </x:c>
      <x:c r="I427" s="8" t="n">
        <x:v>0</x:v>
      </x:c>
      <x:c r="J427" s="8" t="n">
        <x:v>19</x:v>
      </x:c>
      <x:c r="K427" s="8" t="str">
        <x:v>["G143"]</x:v>
      </x:c>
      <x:c r="L427" s="8" t="str">
        <x:v>https://github.com/Sparkling-Flames/3D_Manhattan_label/blob/844a4694627e1eacc6bfb48911897335e48ecc17/data/mp3d_layout/valid/img/pa4otMbVnkk_f0397335d45f43c282646a8653918f86.png</x:v>
      </x:c>
      <x:c r="M427" s="8" t="str">
        <x:v>pa4otMbVnkk_f0397335d45f43c282646a8653918f86</x:v>
      </x:c>
    </x:row>
    <x:row r="428" ht="44" customHeight="1">
      <x:c r="A428" s="8" t="str">
        <x:v>pa4otMbVnkk</x:v>
      </x:c>
      <x:c r="B428" s="8" t="n">
        <x:v>44</x:v>
      </x:c>
      <x:c r="C428" s="8" t="str">
        <x:v>厨房与用餐</x:v>
      </x:c>
      <x:c r="D428" s="8" t="str">
        <x:v>早期争议复核导出.user_type</x:v>
      </x:c>
      <x:c r="E428" s="8" t="str">
        <x:v>厨房与用餐</x:v>
      </x:c>
      <x:c r="F428" s="8" t="str">
        <x:v>厨房与用餐</x:v>
      </x:c>
      <x:c r="G428" s="8" t="n">
        <x:v>1</x:v>
      </x:c>
      <x:c r="H428" s="8" t="n">
        <x:v>1</x:v>
      </x:c>
      <x:c r="I428" s="8" t="n">
        <x:v>0</x:v>
      </x:c>
      <x:c r="J428" s="8" t="n">
        <x:v>18</x:v>
      </x:c>
      <x:c r="K428" s="8" t="str">
        <x:v>["G130"]</x:v>
      </x:c>
      <x:c r="L428" s="8" t="str">
        <x:v>https://github.com/Sparkling-Flames/3D_Manhattan_label/blob/844a4694627e1eacc6bfb48911897335e48ecc17/data/mp3d_layout/valid/img/pa4otMbVnkk_f6005da79d2c43ba820db8124a4287d1.png</x:v>
      </x:c>
      <x:c r="M428" s="8" t="str">
        <x:v>pa4otMbVnkk_f6005da79d2c43ba820db8124a4287d1</x:v>
      </x:c>
    </x:row>
    <x:row r="429" ht="44" customHeight="1">
      <x:c r="A429" s="8" t="str">
        <x:v>pa4otMbVnkk</x:v>
      </x:c>
      <x:c r="B429" s="8" t="n">
        <x:v>45</x:v>
      </x:c>
      <x:c r="C429" s="8" t="str">
        <x:v>起居与休闲</x:v>
      </x:c>
      <x:c r="D429" s="8" t="str">
        <x:v>早期争议复核导出.user_type</x:v>
      </x:c>
      <x:c r="E429" s="8" t="str">
        <x:v>起居与休闲</x:v>
      </x:c>
      <x:c r="F429" s="8" t="str">
        <x:v>起居与休闲</x:v>
      </x:c>
      <x:c r="G429" s="8" t="n">
        <x:v>0</x:v>
      </x:c>
      <x:c r="H429" s="8" t="n">
        <x:v>0</x:v>
      </x:c>
      <x:c r="I429" s="8" t="n">
        <x:v>0</x:v>
      </x:c>
      <x:c r="J429" s="8" t="n">
        <x:v>19</x:v>
      </x:c>
      <x:c r="K429" s="8" t="str">
        <x:v>["G136"]</x:v>
      </x:c>
      <x:c r="L429" s="8" t="str">
        <x:v>https://github.com/Sparkling-Flames/3D_Manhattan_label/blob/844a4694627e1eacc6bfb48911897335e48ecc17/data/mp3d_layout/valid/img/pa4otMbVnkk_f750030380cb4bbe87e4bf3d31b63f94.png</x:v>
      </x:c>
      <x:c r="M429" s="8" t="str">
        <x:v>pa4otMbVnkk_f750030380cb4bbe87e4bf3d31b63f94</x:v>
      </x:c>
    </x:row>
    <x:row r="430" ht="44" customHeight="1">
      <x:c r="A430" s="8" t="str">
        <x:v>pa4otMbVnkk</x:v>
      </x:c>
      <x:c r="B430" s="8" t="n">
        <x:v>46</x:v>
      </x:c>
      <x:c r="C430" s="8" t="str">
        <x:v>卫浴</x:v>
      </x:c>
      <x:c r="D430" s="8" t="str">
        <x:v>早期争议复核导出.user_type</x:v>
      </x:c>
      <x:c r="E430" s="8" t="str">
        <x:v>卫浴</x:v>
      </x:c>
      <x:c r="F430" s="8" t="str">
        <x:v>卫浴</x:v>
      </x:c>
      <x:c r="G430" s="8" t="n">
        <x:v>0</x:v>
      </x:c>
      <x:c r="H430" s="8" t="n">
        <x:v>0</x:v>
      </x:c>
      <x:c r="I430" s="8" t="n">
        <x:v>0</x:v>
      </x:c>
      <x:c r="J430" s="8" t="n">
        <x:v>19</x:v>
      </x:c>
      <x:c r="K430" s="8" t="str">
        <x:v>["G144"]</x:v>
      </x:c>
      <x:c r="L430" s="8" t="str">
        <x:v>https://github.com/Sparkling-Flames/3D_Manhattan_label/blob/844a4694627e1eacc6bfb48911897335e48ecc17/data/mp3d_layout/valid/img/pa4otMbVnkk_f99f4beac1744062a4d6349ac140f16e.png</x:v>
      </x:c>
      <x:c r="M430" s="8" t="str">
        <x:v>pa4otMbVnkk_f99f4beac1744062a4d6349ac140f16e</x:v>
      </x:c>
    </x:row>
    <x:row r="431" ht="44" customHeight="1">
      <x:c r="A431" s="8" t="str">
        <x:v>pa4otMbVnkk</x:v>
      </x:c>
      <x:c r="B431" s="8" t="n">
        <x:v>47</x:v>
      </x:c>
      <x:c r="C431" s="8" t="str">
        <x:v>起居与休闲</x:v>
      </x:c>
      <x:c r="D431" s="8" t="str">
        <x:v>早期争议复核导出.user_type</x:v>
      </x:c>
      <x:c r="E431" s="8" t="str">
        <x:v>起居与休闲</x:v>
      </x:c>
      <x:c r="F431" s="8" t="str"/>
      <x:c r="G431" s="8" t="n">
        <x:v>0</x:v>
      </x:c>
      <x:c r="H431" s="8" t="n">
        <x:v>0</x:v>
      </x:c>
      <x:c r="I431" s="8" t="n">
        <x:v>0</x:v>
      </x:c>
      <x:c r="J431" s="8" t="n">
        <x:v>19</x:v>
      </x:c>
      <x:c r="K431" s="8" t="str">
        <x:v>["G134"]</x:v>
      </x:c>
      <x:c r="L431" s="8" t="str">
        <x:v>https://github.com/Sparkling-Flames/3D_Manhattan_label/blob/844a4694627e1eacc6bfb48911897335e48ecc17/data/mp3d_layout/valid/img/pa4otMbVnkk_faa9b3c493a541d5bcaae52f760b6807.png</x:v>
      </x:c>
      <x:c r="M431" s="8" t="str">
        <x:v>pa4otMbVnkk_faa9b3c493a541d5bcaae52f760b6807</x:v>
      </x:c>
    </x:row>
    <x:row r="432" ht="44" customHeight="1">
      <x:c r="A432" s="8" t="str">
        <x:v>pa4otMbVnkk</x:v>
      </x:c>
      <x:c r="B432" s="8" t="n">
        <x:v>48</x:v>
      </x:c>
      <x:c r="C432" s="8" t="str">
        <x:v>卫浴</x:v>
      </x:c>
      <x:c r="D432" s="8" t="str">
        <x:v>早期争议复核导出.user_type</x:v>
      </x:c>
      <x:c r="E432" s="8" t="str">
        <x:v>卫浴</x:v>
      </x:c>
      <x:c r="F432" s="8" t="str">
        <x:v>卫浴</x:v>
      </x:c>
      <x:c r="G432" s="8" t="n">
        <x:v>1</x:v>
      </x:c>
      <x:c r="H432" s="8" t="n">
        <x:v>1</x:v>
      </x:c>
      <x:c r="I432" s="8" t="n">
        <x:v>0</x:v>
      </x:c>
      <x:c r="J432" s="8" t="n">
        <x:v>18</x:v>
      </x:c>
      <x:c r="K432" s="8" t="str">
        <x:v>[]</x:v>
      </x:c>
      <x:c r="L432" s="8" t="str">
        <x:v>https://github.com/Sparkling-Flames/3D_Manhattan_label/blob/844a4694627e1eacc6bfb48911897335e48ecc17/data/mp3d_layout/valid/img/pa4otMbVnkk_fc4ee7e59f32491d9817b3a9a5b5e9b1.png</x:v>
      </x:c>
      <x:c r="M432" s="8" t="str">
        <x:v>pa4otMbVnkk_fc4ee7e59f32491d9817b3a9a5b5e9b1</x:v>
      </x:c>
    </x:row>
    <x:row r="433" ht="44" customHeight="1">
      <x:c r="A433" s="8" t="str">
        <x:v>pa4otMbVnkk</x:v>
      </x:c>
      <x:c r="B433" s="8" t="n">
        <x:v>49</x:v>
      </x:c>
      <x:c r="C433" s="8" t="str">
        <x:v>卧室</x:v>
      </x:c>
      <x:c r="D433" s="8" t="str">
        <x:v>早期争议复核导出.user_type</x:v>
      </x:c>
      <x:c r="E433" s="8" t="str">
        <x:v>卧室</x:v>
      </x:c>
      <x:c r="F433" s="8" t="str">
        <x:v>卧室</x:v>
      </x:c>
      <x:c r="G433" s="8" t="n">
        <x:v>0</x:v>
      </x:c>
      <x:c r="H433" s="8" t="n">
        <x:v>0</x:v>
      </x:c>
      <x:c r="I433" s="8" t="n">
        <x:v>0</x:v>
      </x:c>
      <x:c r="J433" s="8" t="n">
        <x:v>19</x:v>
      </x:c>
      <x:c r="K433" s="8" t="str">
        <x:v>["G138"]</x:v>
      </x:c>
      <x:c r="L433" s="8" t="str">
        <x:v>https://github.com/Sparkling-Flames/3D_Manhattan_label/blob/844a4694627e1eacc6bfb48911897335e48ecc17/data/mp3d_layout/valid/img/pa4otMbVnkk_fd3034fe3cf6425ea2810f42656766cf.png</x:v>
      </x:c>
      <x:c r="M433" s="8" t="str">
        <x:v>pa4otMbVnkk_fd3034fe3cf6425ea2810f42656766cf</x:v>
      </x:c>
    </x:row>
    <x:row r="434" ht="44" customHeight="1">
      <x:c r="A434" s="8" t="str">
        <x:v>uNb9QFRL6hY</x:v>
      </x:c>
      <x:c r="B434" s="8" t="n">
        <x:v>1</x:v>
      </x:c>
      <x:c r="C434" s="8" t="str">
        <x:v>起居与休闲</x:v>
      </x:c>
      <x:c r="D434" s="8" t="str">
        <x:v>早期争议复核导出.user_type</x:v>
      </x:c>
      <x:c r="E434" s="8" t="str">
        <x:v>起居与休闲</x:v>
      </x:c>
      <x:c r="F434" s="8" t="str">
        <x:v>起居与休闲</x:v>
      </x:c>
      <x:c r="G434" s="8" t="n">
        <x:v>0</x:v>
      </x:c>
      <x:c r="H434" s="8" t="n">
        <x:v>0</x:v>
      </x:c>
      <x:c r="I434" s="8" t="n">
        <x:v>0</x:v>
      </x:c>
      <x:c r="J434" s="8" t="n">
        <x:v>19</x:v>
      </x:c>
      <x:c r="K434" s="8" t="str">
        <x:v>["G172"]</x:v>
      </x:c>
      <x:c r="L434" s="8" t="str">
        <x:v>https://github.com/Sparkling-Flames/3D_Manhattan_label/blob/844a4694627e1eacc6bfb48911897335e48ecc17/data/mp3d_layout/test/img/uNb9QFRL6hY_00b4950b469b4520b29f895aa029419c.png</x:v>
      </x:c>
      <x:c r="M434" s="8" t="str">
        <x:v>uNb9QFRL6hY_00b4950b469b4520b29f895aa029419c</x:v>
      </x:c>
    </x:row>
    <x:row r="435" ht="44" customHeight="1">
      <x:c r="A435" s="8" t="str">
        <x:v>uNb9QFRL6hY</x:v>
      </x:c>
      <x:c r="B435" s="8" t="n">
        <x:v>2</x:v>
      </x:c>
      <x:c r="C435" s="8" t="str">
        <x:v>卧室</x:v>
      </x:c>
      <x:c r="D435" s="8" t="str">
        <x:v>早期争议复核导出.user_type</x:v>
      </x:c>
      <x:c r="E435" s="8" t="str">
        <x:v>卧室</x:v>
      </x:c>
      <x:c r="F435" s="8" t="str"/>
      <x:c r="G435" s="8" t="n">
        <x:v>0</x:v>
      </x:c>
      <x:c r="H435" s="8" t="n">
        <x:v>0</x:v>
      </x:c>
      <x:c r="I435" s="8" t="n">
        <x:v>0</x:v>
      </x:c>
      <x:c r="J435" s="8" t="n">
        <x:v>19</x:v>
      </x:c>
      <x:c r="K435" s="8" t="str">
        <x:v>["G173", "G174"]</x:v>
      </x:c>
      <x:c r="L435" s="8" t="str">
        <x:v>https://github.com/Sparkling-Flames/3D_Manhattan_label/blob/844a4694627e1eacc6bfb48911897335e48ecc17/data/mp3d_layout/test/img/uNb9QFRL6hY_01ea3de3141a4adaa917cebb3db3c086.png</x:v>
      </x:c>
      <x:c r="M435" s="8" t="str">
        <x:v>uNb9QFRL6hY_01ea3de3141a4adaa917cebb3db3c086</x:v>
      </x:c>
    </x:row>
    <x:row r="436" ht="44" customHeight="1">
      <x:c r="A436" s="8" t="str">
        <x:v>uNb9QFRL6hY</x:v>
      </x:c>
      <x:c r="B436" s="8" t="n">
        <x:v>3</x:v>
      </x:c>
      <x:c r="C436" s="8" t="str">
        <x:v>起居与休闲</x:v>
      </x:c>
      <x:c r="D436" s="8" t="str">
        <x:v>早期争议复核导出.user_type</x:v>
      </x:c>
      <x:c r="E436" s="8" t="str">
        <x:v>起居与休闲</x:v>
      </x:c>
      <x:c r="F436" s="8" t="str">
        <x:v>起居与休闲</x:v>
      </x:c>
      <x:c r="G436" s="8" t="n">
        <x:v>0</x:v>
      </x:c>
      <x:c r="H436" s="8" t="n">
        <x:v>0</x:v>
      </x:c>
      <x:c r="I436" s="8" t="n">
        <x:v>0</x:v>
      </x:c>
      <x:c r="J436" s="8" t="n">
        <x:v>19</x:v>
      </x:c>
      <x:c r="K436" s="8" t="str">
        <x:v>["G172"]</x:v>
      </x:c>
      <x:c r="L436" s="8" t="str">
        <x:v>https://github.com/Sparkling-Flames/3D_Manhattan_label/blob/844a4694627e1eacc6bfb48911897335e48ecc17/data/mp3d_layout/test/img/uNb9QFRL6hY_05285f9bc0234526bf0f6362679e38d0.png</x:v>
      </x:c>
      <x:c r="M436" s="8" t="str">
        <x:v>uNb9QFRL6hY_05285f9bc0234526bf0f6362679e38d0</x:v>
      </x:c>
    </x:row>
    <x:row r="437" ht="44" customHeight="1">
      <x:c r="A437" s="8" t="str">
        <x:v>uNb9QFRL6hY</x:v>
      </x:c>
      <x:c r="B437" s="8" t="n">
        <x:v>4</x:v>
      </x:c>
      <x:c r="C437" s="8" t="str">
        <x:v>起居与休闲</x:v>
      </x:c>
      <x:c r="D437" s="8" t="str">
        <x:v>早期争议复核导出.user_type</x:v>
      </x:c>
      <x:c r="E437" s="8" t="str">
        <x:v>起居与休闲</x:v>
      </x:c>
      <x:c r="F437" s="8" t="str">
        <x:v>起居与休闲</x:v>
      </x:c>
      <x:c r="G437" s="8" t="n">
        <x:v>0</x:v>
      </x:c>
      <x:c r="H437" s="8" t="n">
        <x:v>0</x:v>
      </x:c>
      <x:c r="I437" s="8" t="n">
        <x:v>0</x:v>
      </x:c>
      <x:c r="J437" s="8" t="n">
        <x:v>19</x:v>
      </x:c>
      <x:c r="K437" s="8" t="str">
        <x:v>["G172"]</x:v>
      </x:c>
      <x:c r="L437" s="8" t="str">
        <x:v>https://github.com/Sparkling-Flames/3D_Manhattan_label/blob/844a4694627e1eacc6bfb48911897335e48ecc17/data/mp3d_layout/test/img/uNb9QFRL6hY_068fb0d52d01455c96fa23659c373bf8.png</x:v>
      </x:c>
      <x:c r="M437" s="8" t="str">
        <x:v>uNb9QFRL6hY_068fb0d52d01455c96fa23659c373bf8</x:v>
      </x:c>
    </x:row>
    <x:row r="438" ht="44" customHeight="1">
      <x:c r="A438" s="8" t="str">
        <x:v>uNb9QFRL6hY</x:v>
      </x:c>
      <x:c r="B438" s="8" t="n">
        <x:v>5</x:v>
      </x:c>
      <x:c r="C438" s="8" t="str">
        <x:v>储藏与家务辅助</x:v>
      </x:c>
      <x:c r="D438" s="8" t="str">
        <x:v>早期争议复核导出.user_type</x:v>
      </x:c>
      <x:c r="E438" s="8" t="str">
        <x:v>储藏与家务辅助</x:v>
      </x:c>
      <x:c r="F438" s="8" t="str">
        <x:v>通行与连接</x:v>
      </x:c>
      <x:c r="G438" s="8" t="n">
        <x:v>0</x:v>
      </x:c>
      <x:c r="H438" s="8" t="n">
        <x:v>0</x:v>
      </x:c>
      <x:c r="I438" s="8" t="n">
        <x:v>0</x:v>
      </x:c>
      <x:c r="J438" s="8" t="n">
        <x:v>19</x:v>
      </x:c>
      <x:c r="K438" s="8" t="str">
        <x:v>["G175"]</x:v>
      </x:c>
      <x:c r="L438" s="8" t="str">
        <x:v>https://github.com/Sparkling-Flames/3D_Manhattan_label/blob/844a4694627e1eacc6bfb48911897335e48ecc17/data/mp3d_layout/test/img/uNb9QFRL6hY_071ca188c1b7423c947607cc794e9f72.png</x:v>
      </x:c>
      <x:c r="M438" s="8" t="str">
        <x:v>uNb9QFRL6hY_071ca188c1b7423c947607cc794e9f72</x:v>
      </x:c>
    </x:row>
    <x:row r="439" ht="44" customHeight="1">
      <x:c r="A439" s="8" t="str">
        <x:v>uNb9QFRL6hY</x:v>
      </x:c>
      <x:c r="B439" s="8" t="n">
        <x:v>6</x:v>
      </x:c>
      <x:c r="C439" s="8" t="str">
        <x:v>卫浴</x:v>
      </x:c>
      <x:c r="D439" s="8" t="str">
        <x:v>早期争议复核导出.user_type</x:v>
      </x:c>
      <x:c r="E439" s="8" t="str">
        <x:v>卫浴</x:v>
      </x:c>
      <x:c r="F439" s="8" t="str">
        <x:v>卫浴</x:v>
      </x:c>
      <x:c r="G439" s="8" t="n">
        <x:v>25</x:v>
      </x:c>
      <x:c r="H439" s="8" t="n">
        <x:v>19</x:v>
      </x:c>
      <x:c r="I439" s="8" t="n">
        <x:v>0</x:v>
      </x:c>
      <x:c r="J439" s="8" t="n">
        <x:v>0</x:v>
      </x:c>
      <x:c r="K439" s="8" t="str">
        <x:v>["G176", "G177"]</x:v>
      </x:c>
      <x:c r="L439" s="8" t="str">
        <x:v>https://github.com/Sparkling-Flames/3D_Manhattan_label/blob/844a4694627e1eacc6bfb48911897335e48ecc17/data/mp3d_layout/test/img/uNb9QFRL6hY_07a43087f1e54e3f828851d8e457a283.png</x:v>
      </x:c>
      <x:c r="M439" s="8" t="str">
        <x:v>uNb9QFRL6hY_07a43087f1e54e3f828851d8e457a283</x:v>
      </x:c>
    </x:row>
    <x:row r="440" ht="44" customHeight="1">
      <x:c r="A440" s="8" t="str">
        <x:v>uNb9QFRL6hY</x:v>
      </x:c>
      <x:c r="B440" s="8" t="n">
        <x:v>7</x:v>
      </x:c>
      <x:c r="C440" s="8" t="str">
        <x:v>工作与学习</x:v>
      </x:c>
      <x:c r="D440" s="8" t="str">
        <x:v>早期争议复核导出.user_type</x:v>
      </x:c>
      <x:c r="E440" s="8" t="str">
        <x:v>工作与学习</x:v>
      </x:c>
      <x:c r="F440" s="8" t="str">
        <x:v>工作与学习</x:v>
      </x:c>
      <x:c r="G440" s="8" t="n">
        <x:v>0</x:v>
      </x:c>
      <x:c r="H440" s="8" t="n">
        <x:v>0</x:v>
      </x:c>
      <x:c r="I440" s="8" t="n">
        <x:v>0</x:v>
      </x:c>
      <x:c r="J440" s="8" t="n">
        <x:v>19</x:v>
      </x:c>
      <x:c r="K440" s="8" t="str">
        <x:v>["G178"]</x:v>
      </x:c>
      <x:c r="L440" s="8" t="str">
        <x:v>https://github.com/Sparkling-Flames/3D_Manhattan_label/blob/844a4694627e1eacc6bfb48911897335e48ecc17/data/mp3d_layout/test/img/uNb9QFRL6hY_104d12b732794414a42edd37ac554bff.png</x:v>
      </x:c>
      <x:c r="M440" s="8" t="str">
        <x:v>uNb9QFRL6hY_104d12b732794414a42edd37ac554bff</x:v>
      </x:c>
    </x:row>
    <x:row r="441" ht="44" customHeight="1">
      <x:c r="A441" s="8" t="str">
        <x:v>uNb9QFRL6hY</x:v>
      </x:c>
      <x:c r="B441" s="8" t="n">
        <x:v>8</x:v>
      </x:c>
      <x:c r="C441" s="8" t="str">
        <x:v>卧室</x:v>
      </x:c>
      <x:c r="D441" s="8" t="str">
        <x:v>早期争议复核导出.user_type</x:v>
      </x:c>
      <x:c r="E441" s="8" t="str">
        <x:v>卧室</x:v>
      </x:c>
      <x:c r="F441" s="8" t="str">
        <x:v>卧室</x:v>
      </x:c>
      <x:c r="G441" s="8" t="n">
        <x:v>23</x:v>
      </x:c>
      <x:c r="H441" s="8" t="n">
        <x:v>19</x:v>
      </x:c>
      <x:c r="I441" s="8" t="n">
        <x:v>0</x:v>
      </x:c>
      <x:c r="J441" s="8" t="n">
        <x:v>0</x:v>
      </x:c>
      <x:c r="K441" s="8" t="str">
        <x:v>["G173", "G179"]</x:v>
      </x:c>
      <x:c r="L441" s="8" t="str">
        <x:v>https://github.com/Sparkling-Flames/3D_Manhattan_label/blob/844a4694627e1eacc6bfb48911897335e48ecc17/data/mp3d_layout/test/img/uNb9QFRL6hY_1096f195d3294cefa462add5ab0c342e.png</x:v>
      </x:c>
      <x:c r="M441" s="8" t="str">
        <x:v>uNb9QFRL6hY_1096f195d3294cefa462add5ab0c342e</x:v>
      </x:c>
    </x:row>
    <x:row r="442" ht="44" customHeight="1">
      <x:c r="A442" s="8" t="str">
        <x:v>uNb9QFRL6hY</x:v>
      </x:c>
      <x:c r="B442" s="8" t="n">
        <x:v>9</x:v>
      </x:c>
      <x:c r="C442" s="8" t="str">
        <x:v>起居与休闲</x:v>
      </x:c>
      <x:c r="D442" s="8" t="str">
        <x:v>早期争议复核导出.user_type</x:v>
      </x:c>
      <x:c r="E442" s="8" t="str">
        <x:v>起居与休闲</x:v>
      </x:c>
      <x:c r="F442" s="8" t="str">
        <x:v>起居与休闲</x:v>
      </x:c>
      <x:c r="G442" s="8" t="n">
        <x:v>0</x:v>
      </x:c>
      <x:c r="H442" s="8" t="n">
        <x:v>0</x:v>
      </x:c>
      <x:c r="I442" s="8" t="n">
        <x:v>0</x:v>
      </x:c>
      <x:c r="J442" s="8" t="n">
        <x:v>19</x:v>
      </x:c>
      <x:c r="K442" s="8" t="str">
        <x:v>["G172"]</x:v>
      </x:c>
      <x:c r="L442" s="8" t="str">
        <x:v>https://github.com/Sparkling-Flames/3D_Manhattan_label/blob/844a4694627e1eacc6bfb48911897335e48ecc17/data/mp3d_layout/test/img/uNb9QFRL6hY_13a430466eb64e2087e7fb5acde7a398.png</x:v>
      </x:c>
      <x:c r="M442" s="8" t="str">
        <x:v>uNb9QFRL6hY_13a430466eb64e2087e7fb5acde7a398</x:v>
      </x:c>
    </x:row>
    <x:row r="443" ht="44" customHeight="1">
      <x:c r="A443" s="8" t="str">
        <x:v>uNb9QFRL6hY</x:v>
      </x:c>
      <x:c r="B443" s="8" t="n">
        <x:v>10</x:v>
      </x:c>
      <x:c r="C443" s="8" t="str">
        <x:v>卧室</x:v>
      </x:c>
      <x:c r="D443" s="8" t="str">
        <x:v>早期争议复核导出.user_type</x:v>
      </x:c>
      <x:c r="E443" s="8" t="str">
        <x:v>卧室</x:v>
      </x:c>
      <x:c r="F443" s="8" t="str">
        <x:v>卧室</x:v>
      </x:c>
      <x:c r="G443" s="8" t="n">
        <x:v>0</x:v>
      </x:c>
      <x:c r="H443" s="8" t="n">
        <x:v>0</x:v>
      </x:c>
      <x:c r="I443" s="8" t="n">
        <x:v>0</x:v>
      </x:c>
      <x:c r="J443" s="8" t="n">
        <x:v>19</x:v>
      </x:c>
      <x:c r="K443" s="8" t="str">
        <x:v>["G179"]</x:v>
      </x:c>
      <x:c r="L443" s="8" t="str">
        <x:v>https://github.com/Sparkling-Flames/3D_Manhattan_label/blob/844a4694627e1eacc6bfb48911897335e48ecc17/data/mp3d_layout/test/img/uNb9QFRL6hY_1434b965c3c147419c4ff40310633b58.png</x:v>
      </x:c>
      <x:c r="M443" s="8" t="str">
        <x:v>uNb9QFRL6hY_1434b965c3c147419c4ff40310633b58</x:v>
      </x:c>
    </x:row>
    <x:row r="444" ht="44" customHeight="1">
      <x:c r="A444" s="8" t="str">
        <x:v>uNb9QFRL6hY</x:v>
      </x:c>
      <x:c r="B444" s="8" t="n">
        <x:v>11</x:v>
      </x:c>
      <x:c r="C444" s="8" t="str">
        <x:v>通行与连接</x:v>
      </x:c>
      <x:c r="D444" s="8" t="str">
        <x:v>早期争议复核导出.user_type</x:v>
      </x:c>
      <x:c r="E444" s="8" t="str">
        <x:v>通行与连接</x:v>
      </x:c>
      <x:c r="F444" s="8" t="str">
        <x:v>通行与连接</x:v>
      </x:c>
      <x:c r="G444" s="8" t="n">
        <x:v>0</x:v>
      </x:c>
      <x:c r="H444" s="8" t="n">
        <x:v>0</x:v>
      </x:c>
      <x:c r="I444" s="8" t="n">
        <x:v>0</x:v>
      </x:c>
      <x:c r="J444" s="8" t="n">
        <x:v>19</x:v>
      </x:c>
      <x:c r="K444" s="8" t="str">
        <x:v>["G180"]</x:v>
      </x:c>
      <x:c r="L444" s="8" t="str">
        <x:v>https://github.com/Sparkling-Flames/3D_Manhattan_label/blob/844a4694627e1eacc6bfb48911897335e48ecc17/data/mp3d_layout/test/img/uNb9QFRL6hY_14f2a8bc76f24d2ea495369bfde2f653.png</x:v>
      </x:c>
      <x:c r="M444" s="8" t="str">
        <x:v>uNb9QFRL6hY_14f2a8bc76f24d2ea495369bfde2f653</x:v>
      </x:c>
    </x:row>
    <x:row r="445" ht="44" customHeight="1">
      <x:c r="A445" s="8" t="str">
        <x:v>uNb9QFRL6hY</x:v>
      </x:c>
      <x:c r="B445" s="8" t="n">
        <x:v>12</x:v>
      </x:c>
      <x:c r="C445" s="8" t="str">
        <x:v>起居与休闲</x:v>
      </x:c>
      <x:c r="D445" s="8" t="str">
        <x:v>早期争议复核导出.user_type</x:v>
      </x:c>
      <x:c r="E445" s="8" t="str">
        <x:v>起居与休闲</x:v>
      </x:c>
      <x:c r="F445" s="8" t="str">
        <x:v>起居与休闲</x:v>
      </x:c>
      <x:c r="G445" s="8" t="n">
        <x:v>0</x:v>
      </x:c>
      <x:c r="H445" s="8" t="n">
        <x:v>0</x:v>
      </x:c>
      <x:c r="I445" s="8" t="n">
        <x:v>0</x:v>
      </x:c>
      <x:c r="J445" s="8" t="n">
        <x:v>19</x:v>
      </x:c>
      <x:c r="K445" s="8" t="str">
        <x:v>["G172"]</x:v>
      </x:c>
      <x:c r="L445" s="8" t="str">
        <x:v>https://github.com/Sparkling-Flames/3D_Manhattan_label/blob/844a4694627e1eacc6bfb48911897335e48ecc17/data/mp3d_layout/test/img/uNb9QFRL6hY_1b7bf6673ca74809a141b57da1d6357f.png</x:v>
      </x:c>
      <x:c r="M445" s="8" t="str">
        <x:v>uNb9QFRL6hY_1b7bf6673ca74809a141b57da1d6357f</x:v>
      </x:c>
    </x:row>
    <x:row r="446" ht="44" customHeight="1">
      <x:c r="A446" s="8" t="str">
        <x:v>uNb9QFRL6hY</x:v>
      </x:c>
      <x:c r="B446" s="8" t="n">
        <x:v>13</x:v>
      </x:c>
      <x:c r="C446" s="8" t="str">
        <x:v>储藏与家务辅助</x:v>
      </x:c>
      <x:c r="D446" s="8" t="str">
        <x:v>早期争议复核导出.user_type</x:v>
      </x:c>
      <x:c r="E446" s="8" t="str">
        <x:v>储藏与家务辅助</x:v>
      </x:c>
      <x:c r="F446" s="8" t="str">
        <x:v>储藏与家务辅助</x:v>
      </x:c>
      <x:c r="G446" s="8" t="n">
        <x:v>0</x:v>
      </x:c>
      <x:c r="H446" s="8" t="n">
        <x:v>0</x:v>
      </x:c>
      <x:c r="I446" s="8" t="n">
        <x:v>0</x:v>
      </x:c>
      <x:c r="J446" s="8" t="n">
        <x:v>19</x:v>
      </x:c>
      <x:c r="K446" s="8" t="str">
        <x:v>["G181"]</x:v>
      </x:c>
      <x:c r="L446" s="8" t="str">
        <x:v>https://github.com/Sparkling-Flames/3D_Manhattan_label/blob/844a4694627e1eacc6bfb48911897335e48ecc17/data/mp3d_layout/test/img/uNb9QFRL6hY_23ad7b8dbcd14ca8a270eb37da6457cb.png</x:v>
      </x:c>
      <x:c r="M446" s="8" t="str">
        <x:v>uNb9QFRL6hY_23ad7b8dbcd14ca8a270eb37da6457cb</x:v>
      </x:c>
    </x:row>
    <x:row r="447" ht="44" customHeight="1">
      <x:c r="A447" s="8" t="str">
        <x:v>uNb9QFRL6hY</x:v>
      </x:c>
      <x:c r="B447" s="8" t="n">
        <x:v>14</x:v>
      </x:c>
      <x:c r="C447" s="8" t="str">
        <x:v>工作与学习</x:v>
      </x:c>
      <x:c r="D447" s="8" t="str">
        <x:v>早期争议复核导出.user_type</x:v>
      </x:c>
      <x:c r="E447" s="8" t="str">
        <x:v>工作与学习</x:v>
      </x:c>
      <x:c r="F447" s="8" t="str">
        <x:v>工作与学习</x:v>
      </x:c>
      <x:c r="G447" s="8" t="n">
        <x:v>0</x:v>
      </x:c>
      <x:c r="H447" s="8" t="n">
        <x:v>0</x:v>
      </x:c>
      <x:c r="I447" s="8" t="n">
        <x:v>0</x:v>
      </x:c>
      <x:c r="J447" s="8" t="n">
        <x:v>19</x:v>
      </x:c>
      <x:c r="K447" s="8" t="str">
        <x:v>["G178"]</x:v>
      </x:c>
      <x:c r="L447" s="8" t="str">
        <x:v>https://github.com/Sparkling-Flames/3D_Manhattan_label/blob/844a4694627e1eacc6bfb48911897335e48ecc17/data/mp3d_layout/test/img/uNb9QFRL6hY_23ed105b1f0f48bbb6ec025df9d313e7.png</x:v>
      </x:c>
      <x:c r="M447" s="8" t="str">
        <x:v>uNb9QFRL6hY_23ed105b1f0f48bbb6ec025df9d313e7</x:v>
      </x:c>
    </x:row>
    <x:row r="448" ht="44" customHeight="1">
      <x:c r="A448" s="8" t="str">
        <x:v>uNb9QFRL6hY</x:v>
      </x:c>
      <x:c r="B448" s="8" t="n">
        <x:v>15</x:v>
      </x:c>
      <x:c r="C448" s="8" t="str">
        <x:v>储藏与家务辅助</x:v>
      </x:c>
      <x:c r="D448" s="8" t="str">
        <x:v>早期争议复核导出.user_type</x:v>
      </x:c>
      <x:c r="E448" s="8" t="str">
        <x:v>储藏与家务辅助</x:v>
      </x:c>
      <x:c r="F448" s="8" t="str">
        <x:v>储藏与家务辅助</x:v>
      </x:c>
      <x:c r="G448" s="8" t="n">
        <x:v>0</x:v>
      </x:c>
      <x:c r="H448" s="8" t="n">
        <x:v>0</x:v>
      </x:c>
      <x:c r="I448" s="8" t="n">
        <x:v>0</x:v>
      </x:c>
      <x:c r="J448" s="8" t="n">
        <x:v>19</x:v>
      </x:c>
      <x:c r="K448" s="8" t="str">
        <x:v>["G181", "G182"]</x:v>
      </x:c>
      <x:c r="L448" s="8" t="str">
        <x:v>https://github.com/Sparkling-Flames/3D_Manhattan_label/blob/844a4694627e1eacc6bfb48911897335e48ecc17/data/mp3d_layout/test/img/uNb9QFRL6hY_26b3b14f6ce047489259ab14d131122d.png</x:v>
      </x:c>
      <x:c r="M448" s="8" t="str">
        <x:v>uNb9QFRL6hY_26b3b14f6ce047489259ab14d131122d</x:v>
      </x:c>
    </x:row>
    <x:row r="449" ht="44" customHeight="1">
      <x:c r="A449" s="8" t="str">
        <x:v>uNb9QFRL6hY</x:v>
      </x:c>
      <x:c r="B449" s="8" t="n">
        <x:v>16</x:v>
      </x:c>
      <x:c r="C449" s="8" t="str">
        <x:v>通行与连接</x:v>
      </x:c>
      <x:c r="D449" s="8" t="str">
        <x:v>早期争议复核导出.user_type</x:v>
      </x:c>
      <x:c r="E449" s="8" t="str">
        <x:v>通行与连接</x:v>
      </x:c>
      <x:c r="F449" s="8" t="str">
        <x:v>通行与连接</x:v>
      </x:c>
      <x:c r="G449" s="8" t="n">
        <x:v>0</x:v>
      </x:c>
      <x:c r="H449" s="8" t="n">
        <x:v>0</x:v>
      </x:c>
      <x:c r="I449" s="8" t="n">
        <x:v>0</x:v>
      </x:c>
      <x:c r="J449" s="8" t="n">
        <x:v>19</x:v>
      </x:c>
      <x:c r="K449" s="8" t="str">
        <x:v>["G180"]</x:v>
      </x:c>
      <x:c r="L449" s="8" t="str">
        <x:v>https://github.com/Sparkling-Flames/3D_Manhattan_label/blob/844a4694627e1eacc6bfb48911897335e48ecc17/data/mp3d_layout/test/img/uNb9QFRL6hY_28cd285e6d5545dda080d949bb00f1c0.png</x:v>
      </x:c>
      <x:c r="M449" s="8" t="str">
        <x:v>uNb9QFRL6hY_28cd285e6d5545dda080d949bb00f1c0</x:v>
      </x:c>
    </x:row>
    <x:row r="450" ht="44" customHeight="1">
      <x:c r="A450" s="8" t="str">
        <x:v>uNb9QFRL6hY</x:v>
      </x:c>
      <x:c r="B450" s="8" t="n">
        <x:v>17</x:v>
      </x:c>
      <x:c r="C450" s="8" t="str">
        <x:v>厨房与用餐</x:v>
      </x:c>
      <x:c r="D450" s="8" t="str">
        <x:v>早期争议复核导出.user_type</x:v>
      </x:c>
      <x:c r="E450" s="8" t="str">
        <x:v>厨房与用餐</x:v>
      </x:c>
      <x:c r="F450" s="8" t="str">
        <x:v>开放复合空间</x:v>
      </x:c>
      <x:c r="G450" s="8" t="n">
        <x:v>0</x:v>
      </x:c>
      <x:c r="H450" s="8" t="n">
        <x:v>0</x:v>
      </x:c>
      <x:c r="I450" s="8" t="n">
        <x:v>0</x:v>
      </x:c>
      <x:c r="J450" s="8" t="n">
        <x:v>19</x:v>
      </x:c>
      <x:c r="K450" s="8" t="str">
        <x:v>["G183"]</x:v>
      </x:c>
      <x:c r="L450" s="8" t="str">
        <x:v>https://github.com/Sparkling-Flames/3D_Manhattan_label/blob/844a4694627e1eacc6bfb48911897335e48ecc17/data/mp3d_layout/test/img/uNb9QFRL6hY_2d80f7d125794c87aee34d9d46a78304.png</x:v>
      </x:c>
      <x:c r="M450" s="8" t="str">
        <x:v>uNb9QFRL6hY_2d80f7d125794c87aee34d9d46a78304</x:v>
      </x:c>
    </x:row>
    <x:row r="451" ht="44" customHeight="1">
      <x:c r="A451" s="8" t="str">
        <x:v>uNb9QFRL6hY</x:v>
      </x:c>
      <x:c r="B451" s="8" t="n">
        <x:v>18</x:v>
      </x:c>
      <x:c r="C451" s="8" t="str">
        <x:v>卫浴</x:v>
      </x:c>
      <x:c r="D451" s="8" t="str">
        <x:v>早期争议复核导出.user_type</x:v>
      </x:c>
      <x:c r="E451" s="8" t="str">
        <x:v>卫浴</x:v>
      </x:c>
      <x:c r="F451" s="8" t="str">
        <x:v>卫浴</x:v>
      </x:c>
      <x:c r="G451" s="8" t="n">
        <x:v>0</x:v>
      </x:c>
      <x:c r="H451" s="8" t="n">
        <x:v>0</x:v>
      </x:c>
      <x:c r="I451" s="8" t="n">
        <x:v>0</x:v>
      </x:c>
      <x:c r="J451" s="8" t="n">
        <x:v>19</x:v>
      </x:c>
      <x:c r="K451" s="8" t="str">
        <x:v>["G184"]</x:v>
      </x:c>
      <x:c r="L451" s="8" t="str">
        <x:v>https://github.com/Sparkling-Flames/3D_Manhattan_label/blob/844a4694627e1eacc6bfb48911897335e48ecc17/data/mp3d_layout/test/img/uNb9QFRL6hY_2ed0e171a7c34f17a85363923a26ab98.png</x:v>
      </x:c>
      <x:c r="M451" s="8" t="str">
        <x:v>uNb9QFRL6hY_2ed0e171a7c34f17a85363923a26ab98</x:v>
      </x:c>
    </x:row>
    <x:row r="452" ht="44" customHeight="1">
      <x:c r="A452" s="8" t="str">
        <x:v>uNb9QFRL6hY</x:v>
      </x:c>
      <x:c r="B452" s="8" t="n">
        <x:v>19</x:v>
      </x:c>
      <x:c r="C452" s="8" t="str">
        <x:v>卧室</x:v>
      </x:c>
      <x:c r="D452" s="8" t="str">
        <x:v>早期争议复核导出.user_type</x:v>
      </x:c>
      <x:c r="E452" s="8" t="str">
        <x:v>卧室</x:v>
      </x:c>
      <x:c r="F452" s="8" t="str">
        <x:v>卧室</x:v>
      </x:c>
      <x:c r="G452" s="8" t="n">
        <x:v>0</x:v>
      </x:c>
      <x:c r="H452" s="8" t="n">
        <x:v>0</x:v>
      </x:c>
      <x:c r="I452" s="8" t="n">
        <x:v>0</x:v>
      </x:c>
      <x:c r="J452" s="8" t="n">
        <x:v>19</x:v>
      </x:c>
      <x:c r="K452" s="8" t="str">
        <x:v>["G179"]</x:v>
      </x:c>
      <x:c r="L452" s="8" t="str">
        <x:v>https://github.com/Sparkling-Flames/3D_Manhattan_label/blob/844a4694627e1eacc6bfb48911897335e48ecc17/data/mp3d_layout/test/img/uNb9QFRL6hY_33dd9892d10e474ead8f7ad38a8da562.png</x:v>
      </x:c>
      <x:c r="M452" s="8" t="str">
        <x:v>uNb9QFRL6hY_33dd9892d10e474ead8f7ad38a8da562</x:v>
      </x:c>
    </x:row>
    <x:row r="453" ht="44" customHeight="1">
      <x:c r="A453" s="8" t="str">
        <x:v>uNb9QFRL6hY</x:v>
      </x:c>
      <x:c r="B453" s="8" t="n">
        <x:v>20</x:v>
      </x:c>
      <x:c r="C453" s="8" t="str">
        <x:v>起居与休闲</x:v>
      </x:c>
      <x:c r="D453" s="8" t="str">
        <x:v>早期争议复核导出.user_type</x:v>
      </x:c>
      <x:c r="E453" s="8" t="str">
        <x:v>起居与休闲</x:v>
      </x:c>
      <x:c r="F453" s="8" t="str">
        <x:v>起居与休闲</x:v>
      </x:c>
      <x:c r="G453" s="8" t="n">
        <x:v>0</x:v>
      </x:c>
      <x:c r="H453" s="8" t="n">
        <x:v>0</x:v>
      </x:c>
      <x:c r="I453" s="8" t="n">
        <x:v>0</x:v>
      </x:c>
      <x:c r="J453" s="8" t="n">
        <x:v>19</x:v>
      </x:c>
      <x:c r="K453" s="8" t="str">
        <x:v>["G172"]</x:v>
      </x:c>
      <x:c r="L453" s="8" t="str">
        <x:v>https://github.com/Sparkling-Flames/3D_Manhattan_label/blob/844a4694627e1eacc6bfb48911897335e48ecc17/data/mp3d_layout/test/img/uNb9QFRL6hY_3450b3accb584493bf13be8e9554dbea.png</x:v>
      </x:c>
      <x:c r="M453" s="8" t="str">
        <x:v>uNb9QFRL6hY_3450b3accb584493bf13be8e9554dbea</x:v>
      </x:c>
    </x:row>
    <x:row r="454" ht="44" customHeight="1">
      <x:c r="A454" s="8" t="str">
        <x:v>uNb9QFRL6hY</x:v>
      </x:c>
      <x:c r="B454" s="8" t="n">
        <x:v>21</x:v>
      </x:c>
      <x:c r="C454" s="8" t="str">
        <x:v>卫浴</x:v>
      </x:c>
      <x:c r="D454" s="8" t="str">
        <x:v>后续41图亲审.current_classification.coarse_type</x:v>
      </x:c>
      <x:c r="E454" s="8" t="str">
        <x:v>卫浴</x:v>
      </x:c>
      <x:c r="F454" s="8" t="str">
        <x:v>卫浴</x:v>
      </x:c>
      <x:c r="G454" s="8" t="n">
        <x:v>25</x:v>
      </x:c>
      <x:c r="H454" s="8" t="n">
        <x:v>19</x:v>
      </x:c>
      <x:c r="I454" s="8" t="n">
        <x:v>0</x:v>
      </x:c>
      <x:c r="J454" s="8" t="n">
        <x:v>0</x:v>
      </x:c>
      <x:c r="K454" s="8" t="str">
        <x:v>["G185", "G186"]</x:v>
      </x:c>
      <x:c r="L454" s="8" t="str">
        <x:v>https://github.com/Sparkling-Flames/3D_Manhattan_label/blob/844a4694627e1eacc6bfb48911897335e48ecc17/data/mp3d_layout/test/img/uNb9QFRL6hY_3b9e548b46af4410b97e1d12781ec3c9.png</x:v>
      </x:c>
      <x:c r="M454" s="8" t="str">
        <x:v>uNb9QFRL6hY_3b9e548b46af4410b97e1d12781ec3c9</x:v>
      </x:c>
    </x:row>
    <x:row r="455" ht="44" customHeight="1">
      <x:c r="A455" s="8" t="str">
        <x:v>uNb9QFRL6hY</x:v>
      </x:c>
      <x:c r="B455" s="8" t="n">
        <x:v>22</x:v>
      </x:c>
      <x:c r="C455" s="8" t="str">
        <x:v>储藏与家务辅助</x:v>
      </x:c>
      <x:c r="D455" s="8" t="str">
        <x:v>早期争议复核导出.user_type</x:v>
      </x:c>
      <x:c r="E455" s="8" t="str">
        <x:v>储藏与家务辅助</x:v>
      </x:c>
      <x:c r="F455" s="8" t="str">
        <x:v>通行与连接</x:v>
      </x:c>
      <x:c r="G455" s="8" t="n">
        <x:v>0</x:v>
      </x:c>
      <x:c r="H455" s="8" t="n">
        <x:v>0</x:v>
      </x:c>
      <x:c r="I455" s="8" t="n">
        <x:v>0</x:v>
      </x:c>
      <x:c r="J455" s="8" t="n">
        <x:v>19</x:v>
      </x:c>
      <x:c r="K455" s="8" t="str">
        <x:v>["G175"]</x:v>
      </x:c>
      <x:c r="L455" s="8" t="str">
        <x:v>https://github.com/Sparkling-Flames/3D_Manhattan_label/blob/844a4694627e1eacc6bfb48911897335e48ecc17/data/mp3d_layout/test/img/uNb9QFRL6hY_3c97da43516341758224453830954124.png</x:v>
      </x:c>
      <x:c r="M455" s="8" t="str">
        <x:v>uNb9QFRL6hY_3c97da43516341758224453830954124</x:v>
      </x:c>
    </x:row>
    <x:row r="456" ht="44" customHeight="1">
      <x:c r="A456" s="8" t="str">
        <x:v>uNb9QFRL6hY</x:v>
      </x:c>
      <x:c r="B456" s="8" t="n">
        <x:v>23</x:v>
      </x:c>
      <x:c r="C456" s="8" t="str">
        <x:v>起居与休闲</x:v>
      </x:c>
      <x:c r="D456" s="8" t="str">
        <x:v>早期争议复核导出.user_type</x:v>
      </x:c>
      <x:c r="E456" s="8" t="str">
        <x:v>起居与休闲</x:v>
      </x:c>
      <x:c r="F456" s="8" t="str">
        <x:v>起居与休闲</x:v>
      </x:c>
      <x:c r="G456" s="8" t="n">
        <x:v>0</x:v>
      </x:c>
      <x:c r="H456" s="8" t="n">
        <x:v>0</x:v>
      </x:c>
      <x:c r="I456" s="8" t="n">
        <x:v>0</x:v>
      </x:c>
      <x:c r="J456" s="8" t="n">
        <x:v>19</x:v>
      </x:c>
      <x:c r="K456" s="8" t="str">
        <x:v>["G187"]</x:v>
      </x:c>
      <x:c r="L456" s="8" t="str">
        <x:v>https://github.com/Sparkling-Flames/3D_Manhattan_label/blob/844a4694627e1eacc6bfb48911897335e48ecc17/data/mp3d_layout/test/img/uNb9QFRL6hY_4bdc9dcd921342d498e9d70a24481f2d.png</x:v>
      </x:c>
      <x:c r="M456" s="8" t="str">
        <x:v>uNb9QFRL6hY_4bdc9dcd921342d498e9d70a24481f2d</x:v>
      </x:c>
    </x:row>
    <x:row r="457" ht="44" customHeight="1">
      <x:c r="A457" s="8" t="str">
        <x:v>uNb9QFRL6hY</x:v>
      </x:c>
      <x:c r="B457" s="8" t="n">
        <x:v>24</x:v>
      </x:c>
      <x:c r="C457" s="8" t="str">
        <x:v>通行与连接</x:v>
      </x:c>
      <x:c r="D457" s="8" t="str">
        <x:v>后续41图亲审.current_classification.coarse_type</x:v>
      </x:c>
      <x:c r="E457" s="8" t="str">
        <x:v>通行与连接</x:v>
      </x:c>
      <x:c r="F457" s="8" t="str">
        <x:v>通行与连接</x:v>
      </x:c>
      <x:c r="G457" s="8" t="n">
        <x:v>0</x:v>
      </x:c>
      <x:c r="H457" s="8" t="n">
        <x:v>0</x:v>
      </x:c>
      <x:c r="I457" s="8" t="n">
        <x:v>0</x:v>
      </x:c>
      <x:c r="J457" s="8" t="n">
        <x:v>19</x:v>
      </x:c>
      <x:c r="K457" s="8" t="str">
        <x:v>["G188", "G189"]</x:v>
      </x:c>
      <x:c r="L457" s="8" t="str">
        <x:v>https://github.com/Sparkling-Flames/3D_Manhattan_label/blob/844a4694627e1eacc6bfb48911897335e48ecc17/data/mp3d_layout/test/img/uNb9QFRL6hY_4d422e01951e4c4a9fa3c2d10666a004.png</x:v>
      </x:c>
      <x:c r="M457" s="8" t="str">
        <x:v>uNb9QFRL6hY_4d422e01951e4c4a9fa3c2d10666a004</x:v>
      </x:c>
    </x:row>
    <x:row r="458" ht="44" customHeight="1">
      <x:c r="A458" s="8" t="str">
        <x:v>uNb9QFRL6hY</x:v>
      </x:c>
      <x:c r="B458" s="8" t="n">
        <x:v>25</x:v>
      </x:c>
      <x:c r="C458" s="8" t="str">
        <x:v>卫浴</x:v>
      </x:c>
      <x:c r="D458" s="8" t="str">
        <x:v>后续41图亲审.current_classification.coarse_type</x:v>
      </x:c>
      <x:c r="E458" s="8" t="str">
        <x:v>卫浴</x:v>
      </x:c>
      <x:c r="F458" s="8" t="str">
        <x:v>卫浴</x:v>
      </x:c>
      <x:c r="G458" s="8" t="n">
        <x:v>23</x:v>
      </x:c>
      <x:c r="H458" s="8" t="n">
        <x:v>19</x:v>
      </x:c>
      <x:c r="I458" s="8" t="n">
        <x:v>0</x:v>
      </x:c>
      <x:c r="J458" s="8" t="n">
        <x:v>0</x:v>
      </x:c>
      <x:c r="K458" s="8" t="str">
        <x:v>["G185", "G190"]</x:v>
      </x:c>
      <x:c r="L458" s="8" t="str">
        <x:v>https://github.com/Sparkling-Flames/3D_Manhattan_label/blob/844a4694627e1eacc6bfb48911897335e48ecc17/data/mp3d_layout/test/img/uNb9QFRL6hY_5948424345f541b9a570b48f1cfcf622.png</x:v>
      </x:c>
      <x:c r="M458" s="8" t="str">
        <x:v>uNb9QFRL6hY_5948424345f541b9a570b48f1cfcf622</x:v>
      </x:c>
    </x:row>
    <x:row r="459" ht="44" customHeight="1">
      <x:c r="A459" s="8" t="str">
        <x:v>uNb9QFRL6hY</x:v>
      </x:c>
      <x:c r="B459" s="8" t="n">
        <x:v>26</x:v>
      </x:c>
      <x:c r="C459" s="8" t="str">
        <x:v>卫浴</x:v>
      </x:c>
      <x:c r="D459" s="8" t="str">
        <x:v>早期争议复核导出.user_type</x:v>
      </x:c>
      <x:c r="E459" s="8" t="str">
        <x:v>卫浴</x:v>
      </x:c>
      <x:c r="F459" s="8" t="str">
        <x:v>卫浴</x:v>
      </x:c>
      <x:c r="G459" s="8" t="n">
        <x:v>5</x:v>
      </x:c>
      <x:c r="H459" s="8" t="n">
        <x:v>5</x:v>
      </x:c>
      <x:c r="I459" s="8" t="n">
        <x:v>0</x:v>
      </x:c>
      <x:c r="J459" s="8" t="n">
        <x:v>14</x:v>
      </x:c>
      <x:c r="K459" s="8" t="str">
        <x:v>["G184"]</x:v>
      </x:c>
      <x:c r="L459" s="8" t="str">
        <x:v>https://github.com/Sparkling-Flames/3D_Manhattan_label/blob/844a4694627e1eacc6bfb48911897335e48ecc17/data/mp3d_layout/test/img/uNb9QFRL6hY_5b62816d9cf94f17ae166291822ea9ab.png</x:v>
      </x:c>
      <x:c r="M459" s="8" t="str">
        <x:v>uNb9QFRL6hY_5b62816d9cf94f17ae166291822ea9ab</x:v>
      </x:c>
    </x:row>
    <x:row r="460" ht="44" customHeight="1">
      <x:c r="A460" s="8" t="str">
        <x:v>uNb9QFRL6hY</x:v>
      </x:c>
      <x:c r="B460" s="8" t="n">
        <x:v>27</x:v>
      </x:c>
      <x:c r="C460" s="8" t="str">
        <x:v>通行与连接</x:v>
      </x:c>
      <x:c r="D460" s="8" t="str">
        <x:v>后续41图亲审.current_classification.coarse_type</x:v>
      </x:c>
      <x:c r="E460" s="8" t="str">
        <x:v>储藏与家务辅助</x:v>
      </x:c>
      <x:c r="F460" s="8" t="str">
        <x:v>通行与连接</x:v>
      </x:c>
      <x:c r="G460" s="8" t="n">
        <x:v>0</x:v>
      </x:c>
      <x:c r="H460" s="8" t="n">
        <x:v>0</x:v>
      </x:c>
      <x:c r="I460" s="8" t="n">
        <x:v>0</x:v>
      </x:c>
      <x:c r="J460" s="8" t="n">
        <x:v>19</x:v>
      </x:c>
      <x:c r="K460" s="8" t="str">
        <x:v>[]</x:v>
      </x:c>
      <x:c r="L460" s="8" t="str">
        <x:v>https://github.com/Sparkling-Flames/3D_Manhattan_label/blob/844a4694627e1eacc6bfb48911897335e48ecc17/data/mp3d_layout/test/img/uNb9QFRL6hY_5dd7b4cf99584011ac17b25d45c6197c.png</x:v>
      </x:c>
      <x:c r="M460" s="8" t="str">
        <x:v>uNb9QFRL6hY_5dd7b4cf99584011ac17b25d45c6197c</x:v>
      </x:c>
    </x:row>
    <x:row r="461" ht="44" customHeight="1">
      <x:c r="A461" s="8" t="str">
        <x:v>uNb9QFRL6hY</x:v>
      </x:c>
      <x:c r="B461" s="8" t="n">
        <x:v>28</x:v>
      </x:c>
      <x:c r="C461" s="8" t="str">
        <x:v>卧室</x:v>
      </x:c>
      <x:c r="D461" s="8" t="str">
        <x:v>早期争议复核导出.user_type</x:v>
      </x:c>
      <x:c r="E461" s="8" t="str">
        <x:v>卧室</x:v>
      </x:c>
      <x:c r="F461" s="8" t="str"/>
      <x:c r="G461" s="8" t="n">
        <x:v>0</x:v>
      </x:c>
      <x:c r="H461" s="8" t="n">
        <x:v>0</x:v>
      </x:c>
      <x:c r="I461" s="8" t="n">
        <x:v>0</x:v>
      </x:c>
      <x:c r="J461" s="8" t="n">
        <x:v>19</x:v>
      </x:c>
      <x:c r="K461" s="8" t="str">
        <x:v>["G174"]</x:v>
      </x:c>
      <x:c r="L461" s="8" t="str">
        <x:v>https://github.com/Sparkling-Flames/3D_Manhattan_label/blob/844a4694627e1eacc6bfb48911897335e48ecc17/data/mp3d_layout/test/img/uNb9QFRL6hY_5fc8f0e230eb49eca81fdfb0398d824b.png</x:v>
      </x:c>
      <x:c r="M461" s="8" t="str">
        <x:v>uNb9QFRL6hY_5fc8f0e230eb49eca81fdfb0398d824b</x:v>
      </x:c>
    </x:row>
    <x:row r="462" ht="44" customHeight="1">
      <x:c r="A462" s="8" t="str">
        <x:v>uNb9QFRL6hY</x:v>
      </x:c>
      <x:c r="B462" s="8" t="n">
        <x:v>29</x:v>
      </x:c>
      <x:c r="C462" s="8" t="str">
        <x:v>卧室</x:v>
      </x:c>
      <x:c r="D462" s="8" t="str">
        <x:v>早期争议复核导出.user_type</x:v>
      </x:c>
      <x:c r="E462" s="8" t="str">
        <x:v>卧室</x:v>
      </x:c>
      <x:c r="F462" s="8" t="str">
        <x:v>卧室</x:v>
      </x:c>
      <x:c r="G462" s="8" t="n">
        <x:v>5</x:v>
      </x:c>
      <x:c r="H462" s="8" t="n">
        <x:v>4</x:v>
      </x:c>
      <x:c r="I462" s="8" t="n">
        <x:v>0</x:v>
      </x:c>
      <x:c r="J462" s="8" t="n">
        <x:v>15</x:v>
      </x:c>
      <x:c r="K462" s="8" t="str">
        <x:v>["G179"]</x:v>
      </x:c>
      <x:c r="L462" s="8" t="str">
        <x:v>https://github.com/Sparkling-Flames/3D_Manhattan_label/blob/844a4694627e1eacc6bfb48911897335e48ecc17/data/mp3d_layout/test/img/uNb9QFRL6hY_6115ed700b5144cfa3443346381cb7cd.png</x:v>
      </x:c>
      <x:c r="M462" s="8" t="str">
        <x:v>uNb9QFRL6hY_6115ed700b5144cfa3443346381cb7cd</x:v>
      </x:c>
    </x:row>
    <x:row r="463" ht="44" customHeight="1">
      <x:c r="A463" s="8" t="str">
        <x:v>uNb9QFRL6hY</x:v>
      </x:c>
      <x:c r="B463" s="8" t="n">
        <x:v>30</x:v>
      </x:c>
      <x:c r="C463" s="8" t="str">
        <x:v>卧室</x:v>
      </x:c>
      <x:c r="D463" s="8" t="str">
        <x:v>早期争议复核导出.user_type</x:v>
      </x:c>
      <x:c r="E463" s="8" t="str">
        <x:v>卧室</x:v>
      </x:c>
      <x:c r="F463" s="8" t="str">
        <x:v>卧室</x:v>
      </x:c>
      <x:c r="G463" s="8" t="n">
        <x:v>0</x:v>
      </x:c>
      <x:c r="H463" s="8" t="n">
        <x:v>0</x:v>
      </x:c>
      <x:c r="I463" s="8" t="n">
        <x:v>0</x:v>
      </x:c>
      <x:c r="J463" s="8" t="n">
        <x:v>19</x:v>
      </x:c>
      <x:c r="K463" s="8" t="str">
        <x:v>["G191"]</x:v>
      </x:c>
      <x:c r="L463" s="8" t="str">
        <x:v>https://github.com/Sparkling-Flames/3D_Manhattan_label/blob/844a4694627e1eacc6bfb48911897335e48ecc17/data/mp3d_layout/test/img/uNb9QFRL6hY_68df002b0bc84182b4141e8f9cd03fae.png</x:v>
      </x:c>
      <x:c r="M463" s="8" t="str">
        <x:v>uNb9QFRL6hY_68df002b0bc84182b4141e8f9cd03fae</x:v>
      </x:c>
    </x:row>
    <x:row r="464" ht="44" customHeight="1">
      <x:c r="A464" s="8" t="str">
        <x:v>uNb9QFRL6hY</x:v>
      </x:c>
      <x:c r="B464" s="8" t="n">
        <x:v>31</x:v>
      </x:c>
      <x:c r="C464" s="8" t="str">
        <x:v>储藏与家务辅助</x:v>
      </x:c>
      <x:c r="D464" s="8" t="str">
        <x:v>早期争议复核导出.user_type</x:v>
      </x:c>
      <x:c r="E464" s="8" t="str">
        <x:v>储藏与家务辅助</x:v>
      </x:c>
      <x:c r="F464" s="8" t="str">
        <x:v>厨房与用餐</x:v>
      </x:c>
      <x:c r="G464" s="8" t="n">
        <x:v>0</x:v>
      </x:c>
      <x:c r="H464" s="8" t="n">
        <x:v>0</x:v>
      </x:c>
      <x:c r="I464" s="8" t="n">
        <x:v>0</x:v>
      </x:c>
      <x:c r="J464" s="8" t="n">
        <x:v>19</x:v>
      </x:c>
      <x:c r="K464" s="8" t="str">
        <x:v>[]</x:v>
      </x:c>
      <x:c r="L464" s="8" t="str">
        <x:v>https://github.com/Sparkling-Flames/3D_Manhattan_label/blob/844a4694627e1eacc6bfb48911897335e48ecc17/data/mp3d_layout/test/img/uNb9QFRL6hY_68efbeec805f437bb3f3421f93fa4f56.png</x:v>
      </x:c>
      <x:c r="M464" s="8" t="str">
        <x:v>uNb9QFRL6hY_68efbeec805f437bb3f3421f93fa4f56</x:v>
      </x:c>
    </x:row>
    <x:row r="465" ht="44" customHeight="1">
      <x:c r="A465" s="8" t="str">
        <x:v>uNb9QFRL6hY</x:v>
      </x:c>
      <x:c r="B465" s="8" t="n">
        <x:v>32</x:v>
      </x:c>
      <x:c r="C465" s="8" t="str">
        <x:v>通行与连接</x:v>
      </x:c>
      <x:c r="D465" s="8" t="str">
        <x:v>后续41图亲审.current_classification.coarse_type</x:v>
      </x:c>
      <x:c r="E465" s="8" t="str">
        <x:v>通行与连接</x:v>
      </x:c>
      <x:c r="F465" s="8" t="str">
        <x:v>通行与连接</x:v>
      </x:c>
      <x:c r="G465" s="8" t="n">
        <x:v>5</x:v>
      </x:c>
      <x:c r="H465" s="8" t="n">
        <x:v>4</x:v>
      </x:c>
      <x:c r="I465" s="8" t="n">
        <x:v>0</x:v>
      </x:c>
      <x:c r="J465" s="8" t="n">
        <x:v>15</x:v>
      </x:c>
      <x:c r="K465" s="8" t="str">
        <x:v>["G188"]</x:v>
      </x:c>
      <x:c r="L465" s="8" t="str">
        <x:v>https://github.com/Sparkling-Flames/3D_Manhattan_label/blob/844a4694627e1eacc6bfb48911897335e48ecc17/data/mp3d_layout/test/img/uNb9QFRL6hY_6a500a9a43a340eb817c58bb084327fe.png</x:v>
      </x:c>
      <x:c r="M465" s="8" t="str">
        <x:v>uNb9QFRL6hY_6a500a9a43a340eb817c58bb084327fe</x:v>
      </x:c>
    </x:row>
    <x:row r="466" ht="44" customHeight="1">
      <x:c r="A466" s="8" t="str">
        <x:v>uNb9QFRL6hY</x:v>
      </x:c>
      <x:c r="B466" s="8" t="n">
        <x:v>33</x:v>
      </x:c>
      <x:c r="C466" s="8" t="str">
        <x:v>通行与连接</x:v>
      </x:c>
      <x:c r="D466" s="8" t="str">
        <x:v>早期争议复核导出.user_type</x:v>
      </x:c>
      <x:c r="E466" s="8" t="str">
        <x:v>通行与连接</x:v>
      </x:c>
      <x:c r="F466" s="8" t="str">
        <x:v>通行与连接</x:v>
      </x:c>
      <x:c r="G466" s="8" t="n">
        <x:v>0</x:v>
      </x:c>
      <x:c r="H466" s="8" t="n">
        <x:v>0</x:v>
      </x:c>
      <x:c r="I466" s="8" t="n">
        <x:v>0</x:v>
      </x:c>
      <x:c r="J466" s="8" t="n">
        <x:v>19</x:v>
      </x:c>
      <x:c r="K466" s="8" t="str">
        <x:v>["G192"]</x:v>
      </x:c>
      <x:c r="L466" s="8" t="str">
        <x:v>https://github.com/Sparkling-Flames/3D_Manhattan_label/blob/844a4694627e1eacc6bfb48911897335e48ecc17/data/mp3d_layout/test/img/uNb9QFRL6hY_6a99c723d40b429e96a29c8ce7532d1d.png</x:v>
      </x:c>
      <x:c r="M466" s="8" t="str">
        <x:v>uNb9QFRL6hY_6a99c723d40b429e96a29c8ce7532d1d</x:v>
      </x:c>
    </x:row>
    <x:row r="467" ht="44" customHeight="1">
      <x:c r="A467" s="8" t="str">
        <x:v>uNb9QFRL6hY</x:v>
      </x:c>
      <x:c r="B467" s="8" t="n">
        <x:v>34</x:v>
      </x:c>
      <x:c r="C467" s="8" t="str">
        <x:v>卧室</x:v>
      </x:c>
      <x:c r="D467" s="8" t="str">
        <x:v>早期争议复核导出.user_type</x:v>
      </x:c>
      <x:c r="E467" s="8" t="str">
        <x:v>卧室</x:v>
      </x:c>
      <x:c r="F467" s="8" t="str">
        <x:v>卧室</x:v>
      </x:c>
      <x:c r="G467" s="8" t="n">
        <x:v>0</x:v>
      </x:c>
      <x:c r="H467" s="8" t="n">
        <x:v>0</x:v>
      </x:c>
      <x:c r="I467" s="8" t="n">
        <x:v>0</x:v>
      </x:c>
      <x:c r="J467" s="8" t="n">
        <x:v>19</x:v>
      </x:c>
      <x:c r="K467" s="8" t="str">
        <x:v>["G191", "G193"]</x:v>
      </x:c>
      <x:c r="L467" s="8" t="str">
        <x:v>https://github.com/Sparkling-Flames/3D_Manhattan_label/blob/844a4694627e1eacc6bfb48911897335e48ecc17/data/mp3d_layout/test/img/uNb9QFRL6hY_6adff04b1e974c72a81b54fa8f15e7a2.png</x:v>
      </x:c>
      <x:c r="M467" s="8" t="str">
        <x:v>uNb9QFRL6hY_6adff04b1e974c72a81b54fa8f15e7a2</x:v>
      </x:c>
    </x:row>
    <x:row r="468" ht="44" customHeight="1">
      <x:c r="A468" s="8" t="str">
        <x:v>uNb9QFRL6hY</x:v>
      </x:c>
      <x:c r="B468" s="8" t="n">
        <x:v>35</x:v>
      </x:c>
      <x:c r="C468" s="8" t="str">
        <x:v>卫浴</x:v>
      </x:c>
      <x:c r="D468" s="8" t="str">
        <x:v>早期争议复核导出.user_type</x:v>
      </x:c>
      <x:c r="E468" s="8" t="str">
        <x:v>卫浴</x:v>
      </x:c>
      <x:c r="F468" s="8" t="str">
        <x:v>卫浴</x:v>
      </x:c>
      <x:c r="G468" s="8" t="n">
        <x:v>0</x:v>
      </x:c>
      <x:c r="H468" s="8" t="n">
        <x:v>0</x:v>
      </x:c>
      <x:c r="I468" s="8" t="n">
        <x:v>0</x:v>
      </x:c>
      <x:c r="J468" s="8" t="n">
        <x:v>19</x:v>
      </x:c>
      <x:c r="K468" s="8" t="str">
        <x:v>["G194", "G195"]</x:v>
      </x:c>
      <x:c r="L468" s="8" t="str">
        <x:v>https://github.com/Sparkling-Flames/3D_Manhattan_label/blob/844a4694627e1eacc6bfb48911897335e48ecc17/data/mp3d_layout/test/img/uNb9QFRL6hY_6ba3c5669ef04b178b0a5de90249257b.png</x:v>
      </x:c>
      <x:c r="M468" s="8" t="str">
        <x:v>uNb9QFRL6hY_6ba3c5669ef04b178b0a5de90249257b</x:v>
      </x:c>
    </x:row>
    <x:row r="469" ht="44" customHeight="1">
      <x:c r="A469" s="8" t="str">
        <x:v>uNb9QFRL6hY</x:v>
      </x:c>
      <x:c r="B469" s="8" t="n">
        <x:v>36</x:v>
      </x:c>
      <x:c r="C469" s="8" t="str">
        <x:v>通行与连接</x:v>
      </x:c>
      <x:c r="D469" s="8" t="str">
        <x:v>早期争议复核导出.user_type</x:v>
      </x:c>
      <x:c r="E469" s="8" t="str">
        <x:v>通行与连接</x:v>
      </x:c>
      <x:c r="F469" s="8" t="str">
        <x:v>通行与连接</x:v>
      </x:c>
      <x:c r="G469" s="8" t="n">
        <x:v>6</x:v>
      </x:c>
      <x:c r="H469" s="8" t="n">
        <x:v>4</x:v>
      </x:c>
      <x:c r="I469" s="8" t="n">
        <x:v>4</x:v>
      </x:c>
      <x:c r="J469" s="8" t="n">
        <x:v>11</x:v>
      </x:c>
      <x:c r="K469" s="8" t="str">
        <x:v>["G180"]</x:v>
      </x:c>
      <x:c r="L469" s="8" t="str">
        <x:v>https://github.com/Sparkling-Flames/3D_Manhattan_label/blob/844a4694627e1eacc6bfb48911897335e48ecc17/data/mp3d_layout/test/img/uNb9QFRL6hY_6c4fa6dfddc1499db228854454bfc61d.png</x:v>
      </x:c>
      <x:c r="M469" s="8" t="str">
        <x:v>uNb9QFRL6hY_6c4fa6dfddc1499db228854454bfc61d</x:v>
      </x:c>
    </x:row>
    <x:row r="470" ht="44" customHeight="1">
      <x:c r="A470" s="8" t="str">
        <x:v>uNb9QFRL6hY</x:v>
      </x:c>
      <x:c r="B470" s="8" t="n">
        <x:v>37</x:v>
      </x:c>
      <x:c r="C470" s="8" t="str">
        <x:v>储藏与家务辅助</x:v>
      </x:c>
      <x:c r="D470" s="8" t="str">
        <x:v>早期争议复核导出.user_type</x:v>
      </x:c>
      <x:c r="E470" s="8" t="str">
        <x:v>储藏与家务辅助</x:v>
      </x:c>
      <x:c r="F470" s="8" t="str">
        <x:v>通行与连接</x:v>
      </x:c>
      <x:c r="G470" s="8" t="n">
        <x:v>0</x:v>
      </x:c>
      <x:c r="H470" s="8" t="n">
        <x:v>0</x:v>
      </x:c>
      <x:c r="I470" s="8" t="n">
        <x:v>0</x:v>
      </x:c>
      <x:c r="J470" s="8" t="n">
        <x:v>19</x:v>
      </x:c>
      <x:c r="K470" s="8" t="str">
        <x:v>["G189"]</x:v>
      </x:c>
      <x:c r="L470" s="8" t="str">
        <x:v>https://github.com/Sparkling-Flames/3D_Manhattan_label/blob/844a4694627e1eacc6bfb48911897335e48ecc17/data/mp3d_layout/test/img/uNb9QFRL6hY_6d10858fd25f4c06883c28694ade2c00.png</x:v>
      </x:c>
      <x:c r="M470" s="8" t="str">
        <x:v>uNb9QFRL6hY_6d10858fd25f4c06883c28694ade2c00</x:v>
      </x:c>
    </x:row>
    <x:row r="471" ht="44" customHeight="1">
      <x:c r="A471" s="8" t="str">
        <x:v>uNb9QFRL6hY</x:v>
      </x:c>
      <x:c r="B471" s="8" t="n">
        <x:v>38</x:v>
      </x:c>
      <x:c r="C471" s="8" t="str">
        <x:v>卫浴</x:v>
      </x:c>
      <x:c r="D471" s="8" t="str">
        <x:v>早期争议复核导出.user_type</x:v>
      </x:c>
      <x:c r="E471" s="8" t="str">
        <x:v>卫浴</x:v>
      </x:c>
      <x:c r="F471" s="8" t="str">
        <x:v>卫浴</x:v>
      </x:c>
      <x:c r="G471" s="8" t="n">
        <x:v>0</x:v>
      </x:c>
      <x:c r="H471" s="8" t="n">
        <x:v>0</x:v>
      </x:c>
      <x:c r="I471" s="8" t="n">
        <x:v>0</x:v>
      </x:c>
      <x:c r="J471" s="8" t="n">
        <x:v>19</x:v>
      </x:c>
      <x:c r="K471" s="8" t="str">
        <x:v>["G176"]</x:v>
      </x:c>
      <x:c r="L471" s="8" t="str">
        <x:v>https://github.com/Sparkling-Flames/3D_Manhattan_label/blob/844a4694627e1eacc6bfb48911897335e48ecc17/data/mp3d_layout/test/img/uNb9QFRL6hY_709c21ff4dfa467cbaa655e84acc7030.png</x:v>
      </x:c>
      <x:c r="M471" s="8" t="str">
        <x:v>uNb9QFRL6hY_709c21ff4dfa467cbaa655e84acc7030</x:v>
      </x:c>
    </x:row>
    <x:row r="472" ht="44" customHeight="1">
      <x:c r="A472" s="8" t="str">
        <x:v>uNb9QFRL6hY</x:v>
      </x:c>
      <x:c r="B472" s="8" t="n">
        <x:v>39</x:v>
      </x:c>
      <x:c r="C472" s="8" t="str">
        <x:v>卫浴</x:v>
      </x:c>
      <x:c r="D472" s="8" t="str">
        <x:v>早期争议复核导出.user_type</x:v>
      </x:c>
      <x:c r="E472" s="8" t="str">
        <x:v>卫浴</x:v>
      </x:c>
      <x:c r="F472" s="8" t="str">
        <x:v>卫浴</x:v>
      </x:c>
      <x:c r="G472" s="8" t="n">
        <x:v>0</x:v>
      </x:c>
      <x:c r="H472" s="8" t="n">
        <x:v>0</x:v>
      </x:c>
      <x:c r="I472" s="8" t="n">
        <x:v>0</x:v>
      </x:c>
      <x:c r="J472" s="8" t="n">
        <x:v>19</x:v>
      </x:c>
      <x:c r="K472" s="8" t="str">
        <x:v>["G186"]</x:v>
      </x:c>
      <x:c r="L472" s="8" t="str">
        <x:v>https://github.com/Sparkling-Flames/3D_Manhattan_label/blob/844a4694627e1eacc6bfb48911897335e48ecc17/data/mp3d_layout/test/img/uNb9QFRL6hY_732f4a58dc814dc7ad4878f0a6b64196.png</x:v>
      </x:c>
      <x:c r="M472" s="8" t="str">
        <x:v>uNb9QFRL6hY_732f4a58dc814dc7ad4878f0a6b64196</x:v>
      </x:c>
    </x:row>
    <x:row r="473" ht="44" customHeight="1">
      <x:c r="A473" s="8" t="str">
        <x:v>uNb9QFRL6hY</x:v>
      </x:c>
      <x:c r="B473" s="8" t="n">
        <x:v>40</x:v>
      </x:c>
      <x:c r="C473" s="8" t="str">
        <x:v>起居与休闲</x:v>
      </x:c>
      <x:c r="D473" s="8" t="str">
        <x:v>早期争议复核导出.user_type</x:v>
      </x:c>
      <x:c r="E473" s="8" t="str">
        <x:v>起居与休闲</x:v>
      </x:c>
      <x:c r="F473" s="8" t="str">
        <x:v>起居与休闲</x:v>
      </x:c>
      <x:c r="G473" s="8" t="n">
        <x:v>5</x:v>
      </x:c>
      <x:c r="H473" s="8" t="n">
        <x:v>5</x:v>
      </x:c>
      <x:c r="I473" s="8" t="n">
        <x:v>4</x:v>
      </x:c>
      <x:c r="J473" s="8" t="n">
        <x:v>11</x:v>
      </x:c>
      <x:c r="K473" s="8" t="str">
        <x:v>["G172"]</x:v>
      </x:c>
      <x:c r="L473" s="8" t="str">
        <x:v>https://github.com/Sparkling-Flames/3D_Manhattan_label/blob/844a4694627e1eacc6bfb48911897335e48ecc17/data/mp3d_layout/test/img/uNb9QFRL6hY_748279b5d6e740c4b2cba9fc78d6fc62.png</x:v>
      </x:c>
      <x:c r="M473" s="8" t="str">
        <x:v>uNb9QFRL6hY_748279b5d6e740c4b2cba9fc78d6fc62</x:v>
      </x:c>
    </x:row>
    <x:row r="474" ht="44" customHeight="1">
      <x:c r="A474" s="8" t="str">
        <x:v>uNb9QFRL6hY</x:v>
      </x:c>
      <x:c r="B474" s="8" t="n">
        <x:v>41</x:v>
      </x:c>
      <x:c r="C474" s="8" t="str">
        <x:v>卫浴</x:v>
      </x:c>
      <x:c r="D474" s="8" t="str">
        <x:v>早期争议复核导出.user_type</x:v>
      </x:c>
      <x:c r="E474" s="8" t="str">
        <x:v>卫浴</x:v>
      </x:c>
      <x:c r="F474" s="8" t="str">
        <x:v>卫浴</x:v>
      </x:c>
      <x:c r="G474" s="8" t="n">
        <x:v>0</x:v>
      </x:c>
      <x:c r="H474" s="8" t="n">
        <x:v>0</x:v>
      </x:c>
      <x:c r="I474" s="8" t="n">
        <x:v>0</x:v>
      </x:c>
      <x:c r="J474" s="8" t="n">
        <x:v>19</x:v>
      </x:c>
      <x:c r="K474" s="8" t="str">
        <x:v>["G184"]</x:v>
      </x:c>
      <x:c r="L474" s="8" t="str">
        <x:v>https://github.com/Sparkling-Flames/3D_Manhattan_label/blob/844a4694627e1eacc6bfb48911897335e48ecc17/data/mp3d_layout/test/img/uNb9QFRL6hY_76ba70b55bde4313939a4a0cd78a49d3.png</x:v>
      </x:c>
      <x:c r="M474" s="8" t="str">
        <x:v>uNb9QFRL6hY_76ba70b55bde4313939a4a0cd78a49d3</x:v>
      </x:c>
    </x:row>
    <x:row r="475" ht="44" customHeight="1">
      <x:c r="A475" s="8" t="str">
        <x:v>uNb9QFRL6hY</x:v>
      </x:c>
      <x:c r="B475" s="8" t="n">
        <x:v>42</x:v>
      </x:c>
      <x:c r="C475" s="8" t="str">
        <x:v>卫浴</x:v>
      </x:c>
      <x:c r="D475" s="8" t="str">
        <x:v>早期争议复核导出.user_type</x:v>
      </x:c>
      <x:c r="E475" s="8" t="str">
        <x:v>卫浴</x:v>
      </x:c>
      <x:c r="F475" s="8" t="str">
        <x:v>卫浴</x:v>
      </x:c>
      <x:c r="G475" s="8" t="n">
        <x:v>0</x:v>
      </x:c>
      <x:c r="H475" s="8" t="n">
        <x:v>0</x:v>
      </x:c>
      <x:c r="I475" s="8" t="n">
        <x:v>0</x:v>
      </x:c>
      <x:c r="J475" s="8" t="n">
        <x:v>19</x:v>
      </x:c>
      <x:c r="K475" s="8" t="str">
        <x:v>["G196"]</x:v>
      </x:c>
      <x:c r="L475" s="8" t="str">
        <x:v>https://github.com/Sparkling-Flames/3D_Manhattan_label/blob/844a4694627e1eacc6bfb48911897335e48ecc17/data/mp3d_layout/test/img/uNb9QFRL6hY_7c9caadd3cb34400893356727278e975.png</x:v>
      </x:c>
      <x:c r="M475" s="8" t="str">
        <x:v>uNb9QFRL6hY_7c9caadd3cb34400893356727278e975</x:v>
      </x:c>
    </x:row>
    <x:row r="476" ht="44" customHeight="1">
      <x:c r="A476" s="8" t="str">
        <x:v>uNb9QFRL6hY</x:v>
      </x:c>
      <x:c r="B476" s="8" t="n">
        <x:v>43</x:v>
      </x:c>
      <x:c r="C476" s="8" t="str">
        <x:v>起居与休闲</x:v>
      </x:c>
      <x:c r="D476" s="8" t="str">
        <x:v>早期争议复核导出.user_type</x:v>
      </x:c>
      <x:c r="E476" s="8" t="str">
        <x:v>起居与休闲</x:v>
      </x:c>
      <x:c r="F476" s="8" t="str">
        <x:v>起居与休闲</x:v>
      </x:c>
      <x:c r="G476" s="8" t="n">
        <x:v>0</x:v>
      </x:c>
      <x:c r="H476" s="8" t="n">
        <x:v>0</x:v>
      </x:c>
      <x:c r="I476" s="8" t="n">
        <x:v>0</x:v>
      </x:c>
      <x:c r="J476" s="8" t="n">
        <x:v>19</x:v>
      </x:c>
      <x:c r="K476" s="8" t="str">
        <x:v>["G172"]</x:v>
      </x:c>
      <x:c r="L476" s="8" t="str">
        <x:v>https://github.com/Sparkling-Flames/3D_Manhattan_label/blob/844a4694627e1eacc6bfb48911897335e48ecc17/data/mp3d_layout/test/img/uNb9QFRL6hY_84722e58b32f4646acc12614994f835b.png</x:v>
      </x:c>
      <x:c r="M476" s="8" t="str">
        <x:v>uNb9QFRL6hY_84722e58b32f4646acc12614994f835b</x:v>
      </x:c>
    </x:row>
    <x:row r="477" ht="44" customHeight="1">
      <x:c r="A477" s="8" t="str">
        <x:v>uNb9QFRL6hY</x:v>
      </x:c>
      <x:c r="B477" s="8" t="n">
        <x:v>44</x:v>
      </x:c>
      <x:c r="C477" s="8" t="str">
        <x:v>卧室</x:v>
      </x:c>
      <x:c r="D477" s="8" t="str">
        <x:v>早期争议复核导出.user_type</x:v>
      </x:c>
      <x:c r="E477" s="8" t="str">
        <x:v>卧室</x:v>
      </x:c>
      <x:c r="F477" s="8" t="str"/>
      <x:c r="G477" s="8" t="n">
        <x:v>5</x:v>
      </x:c>
      <x:c r="H477" s="8" t="n">
        <x:v>4</x:v>
      </x:c>
      <x:c r="I477" s="8" t="n">
        <x:v>5</x:v>
      </x:c>
      <x:c r="J477" s="8" t="n">
        <x:v>10</x:v>
      </x:c>
      <x:c r="K477" s="8" t="str">
        <x:v>["G174"]</x:v>
      </x:c>
      <x:c r="L477" s="8" t="str">
        <x:v>https://github.com/Sparkling-Flames/3D_Manhattan_label/blob/844a4694627e1eacc6bfb48911897335e48ecc17/data/mp3d_layout/test/img/uNb9QFRL6hY_85e7a14905bd44648061e3eb7f79cf13.png</x:v>
      </x:c>
      <x:c r="M477" s="8" t="str">
        <x:v>uNb9QFRL6hY_85e7a14905bd44648061e3eb7f79cf13</x:v>
      </x:c>
    </x:row>
    <x:row r="478" ht="44" customHeight="1">
      <x:c r="A478" s="8" t="str">
        <x:v>uNb9QFRL6hY</x:v>
      </x:c>
      <x:c r="B478" s="8" t="n">
        <x:v>45</x:v>
      </x:c>
      <x:c r="C478" s="8" t="str">
        <x:v>起居与休闲</x:v>
      </x:c>
      <x:c r="D478" s="8" t="str">
        <x:v>早期争议复核导出.user_type</x:v>
      </x:c>
      <x:c r="E478" s="8" t="str">
        <x:v>起居与休闲</x:v>
      </x:c>
      <x:c r="F478" s="8" t="str">
        <x:v>起居与休闲</x:v>
      </x:c>
      <x:c r="G478" s="8" t="n">
        <x:v>23</x:v>
      </x:c>
      <x:c r="H478" s="8" t="n">
        <x:v>19</x:v>
      </x:c>
      <x:c r="I478" s="8" t="n">
        <x:v>0</x:v>
      </x:c>
      <x:c r="J478" s="8" t="n">
        <x:v>0</x:v>
      </x:c>
      <x:c r="K478" s="8" t="str">
        <x:v>["G172"]</x:v>
      </x:c>
      <x:c r="L478" s="8" t="str">
        <x:v>https://github.com/Sparkling-Flames/3D_Manhattan_label/blob/844a4694627e1eacc6bfb48911897335e48ecc17/data/mp3d_layout/test/img/uNb9QFRL6hY_8b6f1b0b025848b482e747ab6a027b97.png</x:v>
      </x:c>
      <x:c r="M478" s="8" t="str">
        <x:v>uNb9QFRL6hY_8b6f1b0b025848b482e747ab6a027b97</x:v>
      </x:c>
    </x:row>
    <x:row r="479" ht="44" customHeight="1">
      <x:c r="A479" s="8" t="str">
        <x:v>uNb9QFRL6hY</x:v>
      </x:c>
      <x:c r="B479" s="8" t="n">
        <x:v>46</x:v>
      </x:c>
      <x:c r="C479" s="8" t="str">
        <x:v>卫浴</x:v>
      </x:c>
      <x:c r="D479" s="8" t="str">
        <x:v>早期争议复核导出.user_type</x:v>
      </x:c>
      <x:c r="E479" s="8" t="str">
        <x:v>卫浴</x:v>
      </x:c>
      <x:c r="F479" s="8" t="str">
        <x:v>卫浴</x:v>
      </x:c>
      <x:c r="G479" s="8" t="n">
        <x:v>0</x:v>
      </x:c>
      <x:c r="H479" s="8" t="n">
        <x:v>0</x:v>
      </x:c>
      <x:c r="I479" s="8" t="n">
        <x:v>0</x:v>
      </x:c>
      <x:c r="J479" s="8" t="n">
        <x:v>19</x:v>
      </x:c>
      <x:c r="K479" s="8" t="str">
        <x:v>["G190"]</x:v>
      </x:c>
      <x:c r="L479" s="8" t="str">
        <x:v>https://github.com/Sparkling-Flames/3D_Manhattan_label/blob/844a4694627e1eacc6bfb48911897335e48ecc17/data/mp3d_layout/test/img/uNb9QFRL6hY_930b1d9018914ff6858fac08e204de26.png</x:v>
      </x:c>
      <x:c r="M479" s="8" t="str">
        <x:v>uNb9QFRL6hY_930b1d9018914ff6858fac08e204de26</x:v>
      </x:c>
    </x:row>
    <x:row r="480" ht="44" customHeight="1">
      <x:c r="A480" s="8" t="str">
        <x:v>uNb9QFRL6hY</x:v>
      </x:c>
      <x:c r="B480" s="8" t="n">
        <x:v>47</x:v>
      </x:c>
      <x:c r="C480" s="8" t="str">
        <x:v>卫浴</x:v>
      </x:c>
      <x:c r="D480" s="8" t="str">
        <x:v>后续41图亲审.current_classification.coarse_type</x:v>
      </x:c>
      <x:c r="E480" s="8" t="str">
        <x:v>卫浴</x:v>
      </x:c>
      <x:c r="F480" s="8" t="str">
        <x:v>卫浴</x:v>
      </x:c>
      <x:c r="G480" s="8" t="n">
        <x:v>26</x:v>
      </x:c>
      <x:c r="H480" s="8" t="n">
        <x:v>19</x:v>
      </x:c>
      <x:c r="I480" s="8" t="n">
        <x:v>0</x:v>
      </x:c>
      <x:c r="J480" s="8" t="n">
        <x:v>0</x:v>
      </x:c>
      <x:c r="K480" s="8" t="str">
        <x:v>["G194", "G197"]</x:v>
      </x:c>
      <x:c r="L480" s="8" t="str">
        <x:v>https://github.com/Sparkling-Flames/3D_Manhattan_label/blob/844a4694627e1eacc6bfb48911897335e48ecc17/data/mp3d_layout/test/img/uNb9QFRL6hY_978d7a8eb0794936bd8fd092306e1dc5.png</x:v>
      </x:c>
      <x:c r="M480" s="8" t="str">
        <x:v>uNb9QFRL6hY_978d7a8eb0794936bd8fd092306e1dc5</x:v>
      </x:c>
    </x:row>
    <x:row r="481" ht="44" customHeight="1">
      <x:c r="A481" s="8" t="str">
        <x:v>uNb9QFRL6hY</x:v>
      </x:c>
      <x:c r="B481" s="8" t="n">
        <x:v>48</x:v>
      </x:c>
      <x:c r="C481" s="8" t="str">
        <x:v>工作与学习</x:v>
      </x:c>
      <x:c r="D481" s="8" t="str">
        <x:v>早期争议复核导出.user_type</x:v>
      </x:c>
      <x:c r="E481" s="8" t="str">
        <x:v>工作与学习</x:v>
      </x:c>
      <x:c r="F481" s="8" t="str">
        <x:v>工作与学习</x:v>
      </x:c>
      <x:c r="G481" s="8" t="n">
        <x:v>0</x:v>
      </x:c>
      <x:c r="H481" s="8" t="n">
        <x:v>0</x:v>
      </x:c>
      <x:c r="I481" s="8" t="n">
        <x:v>0</x:v>
      </x:c>
      <x:c r="J481" s="8" t="n">
        <x:v>19</x:v>
      </x:c>
      <x:c r="K481" s="8" t="str">
        <x:v>["G178"]</x:v>
      </x:c>
      <x:c r="L481" s="8" t="str">
        <x:v>https://github.com/Sparkling-Flames/3D_Manhattan_label/blob/844a4694627e1eacc6bfb48911897335e48ecc17/data/mp3d_layout/test/img/uNb9QFRL6hY_9b675f28ab5f4345bf06ed5c77097426.png</x:v>
      </x:c>
      <x:c r="M481" s="8" t="str">
        <x:v>uNb9QFRL6hY_9b675f28ab5f4345bf06ed5c77097426</x:v>
      </x:c>
    </x:row>
    <x:row r="482" ht="44" customHeight="1">
      <x:c r="A482" s="8" t="str">
        <x:v>uNb9QFRL6hY</x:v>
      </x:c>
      <x:c r="B482" s="8" t="n">
        <x:v>49</x:v>
      </x:c>
      <x:c r="C482" s="8" t="str">
        <x:v>卫浴</x:v>
      </x:c>
      <x:c r="D482" s="8" t="str">
        <x:v>早期争议复核导出.user_type</x:v>
      </x:c>
      <x:c r="E482" s="8" t="str">
        <x:v>卫浴</x:v>
      </x:c>
      <x:c r="F482" s="8" t="str">
        <x:v>卫浴</x:v>
      </x:c>
      <x:c r="G482" s="8" t="n">
        <x:v>0</x:v>
      </x:c>
      <x:c r="H482" s="8" t="n">
        <x:v>0</x:v>
      </x:c>
      <x:c r="I482" s="8" t="n">
        <x:v>0</x:v>
      </x:c>
      <x:c r="J482" s="8" t="n">
        <x:v>19</x:v>
      </x:c>
      <x:c r="K482" s="8" t="str">
        <x:v>["G176"]</x:v>
      </x:c>
      <x:c r="L482" s="8" t="str">
        <x:v>https://github.com/Sparkling-Flames/3D_Manhattan_label/blob/844a4694627e1eacc6bfb48911897335e48ecc17/data/mp3d_layout/test/img/uNb9QFRL6hY_9ec5ebcf3edc44e1ba6dd02e8423e5ed.png</x:v>
      </x:c>
      <x:c r="M482" s="8" t="str">
        <x:v>uNb9QFRL6hY_9ec5ebcf3edc44e1ba6dd02e8423e5ed</x:v>
      </x:c>
    </x:row>
    <x:row r="483" ht="44" customHeight="1">
      <x:c r="A483" s="8" t="str">
        <x:v>uNb9QFRL6hY</x:v>
      </x:c>
      <x:c r="B483" s="8" t="n">
        <x:v>50</x:v>
      </x:c>
      <x:c r="C483" s="8" t="str">
        <x:v>卫浴</x:v>
      </x:c>
      <x:c r="D483" s="8" t="str">
        <x:v>早期争议复核导出.user_type</x:v>
      </x:c>
      <x:c r="E483" s="8" t="str">
        <x:v>卫浴</x:v>
      </x:c>
      <x:c r="F483" s="8" t="str">
        <x:v>卫浴</x:v>
      </x:c>
      <x:c r="G483" s="8" t="n">
        <x:v>23</x:v>
      </x:c>
      <x:c r="H483" s="8" t="n">
        <x:v>19</x:v>
      </x:c>
      <x:c r="I483" s="8" t="n">
        <x:v>0</x:v>
      </x:c>
      <x:c r="J483" s="8" t="n">
        <x:v>0</x:v>
      </x:c>
      <x:c r="K483" s="8" t="str">
        <x:v>["G184", "G198"]</x:v>
      </x:c>
      <x:c r="L483" s="8" t="str">
        <x:v>https://github.com/Sparkling-Flames/3D_Manhattan_label/blob/844a4694627e1eacc6bfb48911897335e48ecc17/data/mp3d_layout/test/img/uNb9QFRL6hY_9f199750b00c4f5484a546d79e06a0f8.png</x:v>
      </x:c>
      <x:c r="M483" s="8" t="str">
        <x:v>uNb9QFRL6hY_9f199750b00c4f5484a546d79e06a0f8</x:v>
      </x:c>
    </x:row>
    <x:row r="484" ht="44" customHeight="1">
      <x:c r="A484" s="8" t="str">
        <x:v>uNb9QFRL6hY</x:v>
      </x:c>
      <x:c r="B484" s="8" t="n">
        <x:v>51</x:v>
      </x:c>
      <x:c r="C484" s="8" t="str">
        <x:v>厨房与用餐</x:v>
      </x:c>
      <x:c r="D484" s="8" t="str">
        <x:v>早期争议复核导出.user_type</x:v>
      </x:c>
      <x:c r="E484" s="8" t="str">
        <x:v>厨房与用餐</x:v>
      </x:c>
      <x:c r="F484" s="8" t="str">
        <x:v>开放复合空间</x:v>
      </x:c>
      <x:c r="G484" s="8" t="n">
        <x:v>6</x:v>
      </x:c>
      <x:c r="H484" s="8" t="n">
        <x:v>4</x:v>
      </x:c>
      <x:c r="I484" s="8" t="n">
        <x:v>0</x:v>
      </x:c>
      <x:c r="J484" s="8" t="n">
        <x:v>15</x:v>
      </x:c>
      <x:c r="K484" s="8" t="str">
        <x:v>["G183"]</x:v>
      </x:c>
      <x:c r="L484" s="8" t="str">
        <x:v>https://github.com/Sparkling-Flames/3D_Manhattan_label/blob/844a4694627e1eacc6bfb48911897335e48ecc17/data/mp3d_layout/test/img/uNb9QFRL6hY_a372582c11864f31a9dd174e4a0ae6ad.png</x:v>
      </x:c>
      <x:c r="M484" s="8" t="str">
        <x:v>uNb9QFRL6hY_a372582c11864f31a9dd174e4a0ae6ad</x:v>
      </x:c>
    </x:row>
    <x:row r="485" ht="44" customHeight="1">
      <x:c r="A485" s="8" t="str">
        <x:v>uNb9QFRL6hY</x:v>
      </x:c>
      <x:c r="B485" s="8" t="n">
        <x:v>52</x:v>
      </x:c>
      <x:c r="C485" s="8" t="str">
        <x:v>起居与休闲</x:v>
      </x:c>
      <x:c r="D485" s="8" t="str">
        <x:v>早期争议复核导出.user_type</x:v>
      </x:c>
      <x:c r="E485" s="8" t="str">
        <x:v>起居与休闲</x:v>
      </x:c>
      <x:c r="F485" s="8" t="str">
        <x:v>起居与休闲</x:v>
      </x:c>
      <x:c r="G485" s="8" t="n">
        <x:v>25</x:v>
      </x:c>
      <x:c r="H485" s="8" t="n">
        <x:v>19</x:v>
      </x:c>
      <x:c r="I485" s="8" t="n">
        <x:v>0</x:v>
      </x:c>
      <x:c r="J485" s="8" t="n">
        <x:v>0</x:v>
      </x:c>
      <x:c r="K485" s="8" t="str">
        <x:v>["G187"]</x:v>
      </x:c>
      <x:c r="L485" s="8" t="str">
        <x:v>https://github.com/Sparkling-Flames/3D_Manhattan_label/blob/844a4694627e1eacc6bfb48911897335e48ecc17/data/mp3d_layout/test/img/uNb9QFRL6hY_a38a8c6dced34d8bb18fb67165c099f2.png</x:v>
      </x:c>
      <x:c r="M485" s="8" t="str">
        <x:v>uNb9QFRL6hY_a38a8c6dced34d8bb18fb67165c099f2</x:v>
      </x:c>
    </x:row>
    <x:row r="486" ht="44" customHeight="1">
      <x:c r="A486" s="8" t="str">
        <x:v>uNb9QFRL6hY</x:v>
      </x:c>
      <x:c r="B486" s="8" t="n">
        <x:v>53</x:v>
      </x:c>
      <x:c r="C486" s="8" t="str">
        <x:v>起居与休闲</x:v>
      </x:c>
      <x:c r="D486" s="8" t="str">
        <x:v>早期争议复核导出.user_type</x:v>
      </x:c>
      <x:c r="E486" s="8" t="str">
        <x:v>起居与休闲</x:v>
      </x:c>
      <x:c r="F486" s="8" t="str">
        <x:v>起居与休闲</x:v>
      </x:c>
      <x:c r="G486" s="8" t="n">
        <x:v>0</x:v>
      </x:c>
      <x:c r="H486" s="8" t="n">
        <x:v>0</x:v>
      </x:c>
      <x:c r="I486" s="8" t="n">
        <x:v>0</x:v>
      </x:c>
      <x:c r="J486" s="8" t="n">
        <x:v>19</x:v>
      </x:c>
      <x:c r="K486" s="8" t="str">
        <x:v>["G172"]</x:v>
      </x:c>
      <x:c r="L486" s="8" t="str">
        <x:v>https://github.com/Sparkling-Flames/3D_Manhattan_label/blob/844a4694627e1eacc6bfb48911897335e48ecc17/data/mp3d_layout/test/img/uNb9QFRL6hY_a728d2eef41b449f82357899de802dd3.png</x:v>
      </x:c>
      <x:c r="M486" s="8" t="str">
        <x:v>uNb9QFRL6hY_a728d2eef41b449f82357899de802dd3</x:v>
      </x:c>
    </x:row>
    <x:row r="487" ht="44" customHeight="1">
      <x:c r="A487" s="8" t="str">
        <x:v>uNb9QFRL6hY</x:v>
      </x:c>
      <x:c r="B487" s="8" t="n">
        <x:v>54</x:v>
      </x:c>
      <x:c r="C487" s="8" t="str">
        <x:v>通行与连接</x:v>
      </x:c>
      <x:c r="D487" s="8" t="str">
        <x:v>早期争议复核导出.user_type</x:v>
      </x:c>
      <x:c r="E487" s="8" t="str">
        <x:v>通行与连接</x:v>
      </x:c>
      <x:c r="F487" s="8" t="str">
        <x:v>通行与连接</x:v>
      </x:c>
      <x:c r="G487" s="8" t="n">
        <x:v>6</x:v>
      </x:c>
      <x:c r="H487" s="8" t="n">
        <x:v>4</x:v>
      </x:c>
      <x:c r="I487" s="8" t="n">
        <x:v>4</x:v>
      </x:c>
      <x:c r="J487" s="8" t="n">
        <x:v>11</x:v>
      </x:c>
      <x:c r="K487" s="8" t="str">
        <x:v>["G192"]</x:v>
      </x:c>
      <x:c r="L487" s="8" t="str">
        <x:v>https://github.com/Sparkling-Flames/3D_Manhattan_label/blob/844a4694627e1eacc6bfb48911897335e48ecc17/data/mp3d_layout/test/img/uNb9QFRL6hY_a7ab19b1a9f044f0905592de1414e8b3.png</x:v>
      </x:c>
      <x:c r="M487" s="8" t="str">
        <x:v>uNb9QFRL6hY_a7ab19b1a9f044f0905592de1414e8b3</x:v>
      </x:c>
    </x:row>
    <x:row r="488" ht="44" customHeight="1">
      <x:c r="A488" s="8" t="str">
        <x:v>uNb9QFRL6hY</x:v>
      </x:c>
      <x:c r="B488" s="8" t="n">
        <x:v>55</x:v>
      </x:c>
      <x:c r="C488" s="8" t="str">
        <x:v>卧室</x:v>
      </x:c>
      <x:c r="D488" s="8" t="str">
        <x:v>早期争议复核导出.user_type</x:v>
      </x:c>
      <x:c r="E488" s="8" t="str">
        <x:v>卧室</x:v>
      </x:c>
      <x:c r="F488" s="8" t="str">
        <x:v>卧室</x:v>
      </x:c>
      <x:c r="G488" s="8" t="n">
        <x:v>0</x:v>
      </x:c>
      <x:c r="H488" s="8" t="n">
        <x:v>0</x:v>
      </x:c>
      <x:c r="I488" s="8" t="n">
        <x:v>0</x:v>
      </x:c>
      <x:c r="J488" s="8" t="n">
        <x:v>19</x:v>
      </x:c>
      <x:c r="K488" s="8" t="str">
        <x:v>["G179"]</x:v>
      </x:c>
      <x:c r="L488" s="8" t="str">
        <x:v>https://github.com/Sparkling-Flames/3D_Manhattan_label/blob/844a4694627e1eacc6bfb48911897335e48ecc17/data/mp3d_layout/test/img/uNb9QFRL6hY_ab84a27288034713b2c24e41b31acc78.png</x:v>
      </x:c>
      <x:c r="M488" s="8" t="str">
        <x:v>uNb9QFRL6hY_ab84a27288034713b2c24e41b31acc78</x:v>
      </x:c>
    </x:row>
    <x:row r="489" ht="44" customHeight="1">
      <x:c r="A489" s="8" t="str">
        <x:v>uNb9QFRL6hY</x:v>
      </x:c>
      <x:c r="B489" s="8" t="n">
        <x:v>56</x:v>
      </x:c>
      <x:c r="C489" s="8" t="str">
        <x:v>储藏与家务辅助</x:v>
      </x:c>
      <x:c r="D489" s="8" t="str">
        <x:v>早期争议复核导出.user_type</x:v>
      </x:c>
      <x:c r="E489" s="8" t="str">
        <x:v>储藏与家务辅助</x:v>
      </x:c>
      <x:c r="F489" s="8" t="str">
        <x:v>储藏与家务辅助</x:v>
      </x:c>
      <x:c r="G489" s="8" t="n">
        <x:v>0</x:v>
      </x:c>
      <x:c r="H489" s="8" t="n">
        <x:v>0</x:v>
      </x:c>
      <x:c r="I489" s="8" t="n">
        <x:v>26</x:v>
      </x:c>
      <x:c r="J489" s="8" t="n">
        <x:v>0</x:v>
      </x:c>
      <x:c r="K489" s="8" t="str">
        <x:v>[]</x:v>
      </x:c>
      <x:c r="L489" s="8" t="str">
        <x:v>https://github.com/Sparkling-Flames/3D_Manhattan_label/blob/844a4694627e1eacc6bfb48911897335e48ecc17/data/mp3d_layout/test/img/uNb9QFRL6hY_aed830f085ee4ad88ef6bed7f66f1359.png</x:v>
      </x:c>
      <x:c r="M489" s="8" t="str">
        <x:v>uNb9QFRL6hY_aed830f085ee4ad88ef6bed7f66f1359</x:v>
      </x:c>
    </x:row>
    <x:row r="490" ht="44" customHeight="1">
      <x:c r="A490" s="8" t="str">
        <x:v>uNb9QFRL6hY</x:v>
      </x:c>
      <x:c r="B490" s="8" t="n">
        <x:v>57</x:v>
      </x:c>
      <x:c r="C490" s="8" t="str">
        <x:v>卧室</x:v>
      </x:c>
      <x:c r="D490" s="8" t="str">
        <x:v>早期争议复核导出.user_type</x:v>
      </x:c>
      <x:c r="E490" s="8" t="str">
        <x:v>卧室</x:v>
      </x:c>
      <x:c r="F490" s="8" t="str">
        <x:v>卧室</x:v>
      </x:c>
      <x:c r="G490" s="8" t="n">
        <x:v>0</x:v>
      </x:c>
      <x:c r="H490" s="8" t="n">
        <x:v>0</x:v>
      </x:c>
      <x:c r="I490" s="8" t="n">
        <x:v>0</x:v>
      </x:c>
      <x:c r="J490" s="8" t="n">
        <x:v>19</x:v>
      </x:c>
      <x:c r="K490" s="8" t="str">
        <x:v>["G193"]</x:v>
      </x:c>
      <x:c r="L490" s="8" t="str">
        <x:v>https://github.com/Sparkling-Flames/3D_Manhattan_label/blob/844a4694627e1eacc6bfb48911897335e48ecc17/data/mp3d_layout/test/img/uNb9QFRL6hY_b1aedc485cfa4b47be0977925c3dc799.png</x:v>
      </x:c>
      <x:c r="M490" s="8" t="str">
        <x:v>uNb9QFRL6hY_b1aedc485cfa4b47be0977925c3dc799</x:v>
      </x:c>
    </x:row>
    <x:row r="491" ht="44" customHeight="1">
      <x:c r="A491" s="8" t="str">
        <x:v>uNb9QFRL6hY</x:v>
      </x:c>
      <x:c r="B491" s="8" t="n">
        <x:v>58</x:v>
      </x:c>
      <x:c r="C491" s="8" t="str">
        <x:v>起居与休闲</x:v>
      </x:c>
      <x:c r="D491" s="8" t="str">
        <x:v>早期争议复核导出.user_type</x:v>
      </x:c>
      <x:c r="E491" s="8" t="str">
        <x:v>起居与休闲</x:v>
      </x:c>
      <x:c r="F491" s="8" t="str">
        <x:v>起居与休闲</x:v>
      </x:c>
      <x:c r="G491" s="8" t="n">
        <x:v>0</x:v>
      </x:c>
      <x:c r="H491" s="8" t="n">
        <x:v>0</x:v>
      </x:c>
      <x:c r="I491" s="8" t="n">
        <x:v>0</x:v>
      </x:c>
      <x:c r="J491" s="8" t="n">
        <x:v>19</x:v>
      </x:c>
      <x:c r="K491" s="8" t="str">
        <x:v>["G172"]</x:v>
      </x:c>
      <x:c r="L491" s="8" t="str">
        <x:v>https://github.com/Sparkling-Flames/3D_Manhattan_label/blob/844a4694627e1eacc6bfb48911897335e48ecc17/data/mp3d_layout/test/img/uNb9QFRL6hY_b73ae36f994747e196380b1cb71cf407.png</x:v>
      </x:c>
      <x:c r="M491" s="8" t="str">
        <x:v>uNb9QFRL6hY_b73ae36f994747e196380b1cb71cf407</x:v>
      </x:c>
    </x:row>
    <x:row r="492" ht="44" customHeight="1">
      <x:c r="A492" s="8" t="str">
        <x:v>uNb9QFRL6hY</x:v>
      </x:c>
      <x:c r="B492" s="8" t="n">
        <x:v>59</x:v>
      </x:c>
      <x:c r="C492" s="8" t="str">
        <x:v>卫浴</x:v>
      </x:c>
      <x:c r="D492" s="8" t="str">
        <x:v>早期争议复核导出.user_type</x:v>
      </x:c>
      <x:c r="E492" s="8" t="str">
        <x:v>卫浴</x:v>
      </x:c>
      <x:c r="F492" s="8" t="str">
        <x:v>卫浴</x:v>
      </x:c>
      <x:c r="G492" s="8" t="n">
        <x:v>0</x:v>
      </x:c>
      <x:c r="H492" s="8" t="n">
        <x:v>0</x:v>
      </x:c>
      <x:c r="I492" s="8" t="n">
        <x:v>0</x:v>
      </x:c>
      <x:c r="J492" s="8" t="n">
        <x:v>19</x:v>
      </x:c>
      <x:c r="K492" s="8" t="str">
        <x:v>["G184"]</x:v>
      </x:c>
      <x:c r="L492" s="8" t="str">
        <x:v>https://github.com/Sparkling-Flames/3D_Manhattan_label/blob/844a4694627e1eacc6bfb48911897335e48ecc17/data/mp3d_layout/test/img/uNb9QFRL6hY_b98c9460586e4f138658181461df9f51.png</x:v>
      </x:c>
      <x:c r="M492" s="8" t="str">
        <x:v>uNb9QFRL6hY_b98c9460586e4f138658181461df9f51</x:v>
      </x:c>
    </x:row>
    <x:row r="493" ht="44" customHeight="1">
      <x:c r="A493" s="8" t="str">
        <x:v>uNb9QFRL6hY</x:v>
      </x:c>
      <x:c r="B493" s="8" t="n">
        <x:v>60</x:v>
      </x:c>
      <x:c r="C493" s="8" t="str">
        <x:v>卫浴</x:v>
      </x:c>
      <x:c r="D493" s="8" t="str">
        <x:v>早期争议复核导出.user_type</x:v>
      </x:c>
      <x:c r="E493" s="8" t="str">
        <x:v>卫浴</x:v>
      </x:c>
      <x:c r="F493" s="8" t="str">
        <x:v>卫浴</x:v>
      </x:c>
      <x:c r="G493" s="8" t="n">
        <x:v>23</x:v>
      </x:c>
      <x:c r="H493" s="8" t="n">
        <x:v>19</x:v>
      </x:c>
      <x:c r="I493" s="8" t="n">
        <x:v>0</x:v>
      </x:c>
      <x:c r="J493" s="8" t="n">
        <x:v>0</x:v>
      </x:c>
      <x:c r="K493" s="8" t="str">
        <x:v>["G184"]</x:v>
      </x:c>
      <x:c r="L493" s="8" t="str">
        <x:v>https://github.com/Sparkling-Flames/3D_Manhattan_label/blob/844a4694627e1eacc6bfb48911897335e48ecc17/data/mp3d_layout/test/img/uNb9QFRL6hY_ba24e5a57ef34c6dbc0458ed4c1e701d.png</x:v>
      </x:c>
      <x:c r="M493" s="8" t="str">
        <x:v>uNb9QFRL6hY_ba24e5a57ef34c6dbc0458ed4c1e701d</x:v>
      </x:c>
    </x:row>
    <x:row r="494" ht="44" customHeight="1">
      <x:c r="A494" s="8" t="str">
        <x:v>uNb9QFRL6hY</x:v>
      </x:c>
      <x:c r="B494" s="8" t="n">
        <x:v>61</x:v>
      </x:c>
      <x:c r="C494" s="8" t="str">
        <x:v>卫浴</x:v>
      </x:c>
      <x:c r="D494" s="8" t="str">
        <x:v>早期争议复核导出.user_type</x:v>
      </x:c>
      <x:c r="E494" s="8" t="str">
        <x:v>卫浴</x:v>
      </x:c>
      <x:c r="F494" s="8" t="str">
        <x:v>卫浴</x:v>
      </x:c>
      <x:c r="G494" s="8" t="n">
        <x:v>0</x:v>
      </x:c>
      <x:c r="H494" s="8" t="n">
        <x:v>0</x:v>
      </x:c>
      <x:c r="I494" s="8" t="n">
        <x:v>0</x:v>
      </x:c>
      <x:c r="J494" s="8" t="n">
        <x:v>19</x:v>
      </x:c>
      <x:c r="K494" s="8" t="str">
        <x:v>["G196", "G198"]</x:v>
      </x:c>
      <x:c r="L494" s="8" t="str">
        <x:v>https://github.com/Sparkling-Flames/3D_Manhattan_label/blob/844a4694627e1eacc6bfb48911897335e48ecc17/data/mp3d_layout/test/img/uNb9QFRL6hY_baf711edf5524d868702f86e69e566a0.png</x:v>
      </x:c>
      <x:c r="M494" s="8" t="str">
        <x:v>uNb9QFRL6hY_baf711edf5524d868702f86e69e566a0</x:v>
      </x:c>
    </x:row>
    <x:row r="495" ht="44" customHeight="1">
      <x:c r="A495" s="8" t="str">
        <x:v>uNb9QFRL6hY</x:v>
      </x:c>
      <x:c r="B495" s="8" t="n">
        <x:v>62</x:v>
      </x:c>
      <x:c r="C495" s="8" t="str">
        <x:v>卫浴</x:v>
      </x:c>
      <x:c r="D495" s="8" t="str">
        <x:v>早期争议复核导出.user_type</x:v>
      </x:c>
      <x:c r="E495" s="8" t="str">
        <x:v>卫浴</x:v>
      </x:c>
      <x:c r="F495" s="8" t="str">
        <x:v>卫浴</x:v>
      </x:c>
      <x:c r="G495" s="8" t="n">
        <x:v>0</x:v>
      </x:c>
      <x:c r="H495" s="8" t="n">
        <x:v>0</x:v>
      </x:c>
      <x:c r="I495" s="8" t="n">
        <x:v>0</x:v>
      </x:c>
      <x:c r="J495" s="8" t="n">
        <x:v>19</x:v>
      </x:c>
      <x:c r="K495" s="8" t="str">
        <x:v>["G195"]</x:v>
      </x:c>
      <x:c r="L495" s="8" t="str">
        <x:v>https://github.com/Sparkling-Flames/3D_Manhattan_label/blob/844a4694627e1eacc6bfb48911897335e48ecc17/data/mp3d_layout/test/img/uNb9QFRL6hY_bbaa68601ebf4aeba9d8b311413cfc13.png</x:v>
      </x:c>
      <x:c r="M495" s="8" t="str">
        <x:v>uNb9QFRL6hY_bbaa68601ebf4aeba9d8b311413cfc13</x:v>
      </x:c>
    </x:row>
    <x:row r="496" ht="44" customHeight="1">
      <x:c r="A496" s="8" t="str">
        <x:v>uNb9QFRL6hY</x:v>
      </x:c>
      <x:c r="B496" s="8" t="n">
        <x:v>63</x:v>
      </x:c>
      <x:c r="C496" s="8" t="str">
        <x:v>通行与连接</x:v>
      </x:c>
      <x:c r="D496" s="8" t="str">
        <x:v>早期争议复核导出.user_type</x:v>
      </x:c>
      <x:c r="E496" s="8" t="str">
        <x:v>通行与连接</x:v>
      </x:c>
      <x:c r="F496" s="8" t="str">
        <x:v>通行与连接</x:v>
      </x:c>
      <x:c r="G496" s="8" t="n">
        <x:v>25</x:v>
      </x:c>
      <x:c r="H496" s="8" t="n">
        <x:v>19</x:v>
      </x:c>
      <x:c r="I496" s="8" t="n">
        <x:v>0</x:v>
      </x:c>
      <x:c r="J496" s="8" t="n">
        <x:v>0</x:v>
      </x:c>
      <x:c r="K496" s="8" t="str">
        <x:v>["G180"]</x:v>
      </x:c>
      <x:c r="L496" s="8" t="str">
        <x:v>https://github.com/Sparkling-Flames/3D_Manhattan_label/blob/844a4694627e1eacc6bfb48911897335e48ecc17/data/mp3d_layout/test/img/uNb9QFRL6hY_bcce4f23c12744c782c0b49b24a0331a.png</x:v>
      </x:c>
      <x:c r="M496" s="8" t="str">
        <x:v>uNb9QFRL6hY_bcce4f23c12744c782c0b49b24a0331a</x:v>
      </x:c>
    </x:row>
    <x:row r="497" ht="44" customHeight="1">
      <x:c r="A497" s="8" t="str">
        <x:v>uNb9QFRL6hY</x:v>
      </x:c>
      <x:c r="B497" s="8" t="n">
        <x:v>64</x:v>
      </x:c>
      <x:c r="C497" s="8" t="str">
        <x:v>卫浴</x:v>
      </x:c>
      <x:c r="D497" s="8" t="str">
        <x:v>早期争议复核导出.user_type</x:v>
      </x:c>
      <x:c r="E497" s="8" t="str">
        <x:v>卫浴</x:v>
      </x:c>
      <x:c r="F497" s="8" t="str">
        <x:v>卫浴</x:v>
      </x:c>
      <x:c r="G497" s="8" t="n">
        <x:v>0</x:v>
      </x:c>
      <x:c r="H497" s="8" t="n">
        <x:v>0</x:v>
      </x:c>
      <x:c r="I497" s="8" t="n">
        <x:v>0</x:v>
      </x:c>
      <x:c r="J497" s="8" t="n">
        <x:v>19</x:v>
      </x:c>
      <x:c r="K497" s="8" t="str">
        <x:v>["G177", "G199"]</x:v>
      </x:c>
      <x:c r="L497" s="8" t="str">
        <x:v>https://github.com/Sparkling-Flames/3D_Manhattan_label/blob/844a4694627e1eacc6bfb48911897335e48ecc17/data/mp3d_layout/test/img/uNb9QFRL6hY_bccfe89cf0b24f4c9d2afee19c342117.png</x:v>
      </x:c>
      <x:c r="M497" s="8" t="str">
        <x:v>uNb9QFRL6hY_bccfe89cf0b24f4c9d2afee19c342117</x:v>
      </x:c>
    </x:row>
    <x:row r="498" ht="44" customHeight="1">
      <x:c r="A498" s="8" t="str">
        <x:v>uNb9QFRL6hY</x:v>
      </x:c>
      <x:c r="B498" s="8" t="n">
        <x:v>65</x:v>
      </x:c>
      <x:c r="C498" s="8" t="str">
        <x:v>卧室</x:v>
      </x:c>
      <x:c r="D498" s="8" t="str">
        <x:v>早期争议复核导出.user_type</x:v>
      </x:c>
      <x:c r="E498" s="8" t="str">
        <x:v>卧室</x:v>
      </x:c>
      <x:c r="F498" s="8" t="str">
        <x:v>卧室</x:v>
      </x:c>
      <x:c r="G498" s="8" t="n">
        <x:v>25</x:v>
      </x:c>
      <x:c r="H498" s="8" t="n">
        <x:v>19</x:v>
      </x:c>
      <x:c r="I498" s="8" t="n">
        <x:v>0</x:v>
      </x:c>
      <x:c r="J498" s="8" t="n">
        <x:v>0</x:v>
      </x:c>
      <x:c r="K498" s="8" t="str">
        <x:v>["G179"]</x:v>
      </x:c>
      <x:c r="L498" s="8" t="str">
        <x:v>https://github.com/Sparkling-Flames/3D_Manhattan_label/blob/844a4694627e1eacc6bfb48911897335e48ecc17/data/mp3d_layout/test/img/uNb9QFRL6hY_c1ebb8b34eb846ba9b5ce23b30b299a7.png</x:v>
      </x:c>
      <x:c r="M498" s="8" t="str">
        <x:v>uNb9QFRL6hY_c1ebb8b34eb846ba9b5ce23b30b299a7</x:v>
      </x:c>
    </x:row>
    <x:row r="499" ht="44" customHeight="1">
      <x:c r="A499" s="8" t="str">
        <x:v>uNb9QFRL6hY</x:v>
      </x:c>
      <x:c r="B499" s="8" t="n">
        <x:v>66</x:v>
      </x:c>
      <x:c r="C499" s="8" t="str">
        <x:v>卫浴</x:v>
      </x:c>
      <x:c r="D499" s="8" t="str">
        <x:v>早期争议复核导出.user_type</x:v>
      </x:c>
      <x:c r="E499" s="8" t="str">
        <x:v>卫浴</x:v>
      </x:c>
      <x:c r="F499" s="8" t="str">
        <x:v>卫浴</x:v>
      </x:c>
      <x:c r="G499" s="8" t="n">
        <x:v>5</x:v>
      </x:c>
      <x:c r="H499" s="8" t="n">
        <x:v>4</x:v>
      </x:c>
      <x:c r="I499" s="8" t="n">
        <x:v>0</x:v>
      </x:c>
      <x:c r="J499" s="8" t="n">
        <x:v>15</x:v>
      </x:c>
      <x:c r="K499" s="8" t="str">
        <x:v>["G184"]</x:v>
      </x:c>
      <x:c r="L499" s="8" t="str">
        <x:v>https://github.com/Sparkling-Flames/3D_Manhattan_label/blob/844a4694627e1eacc6bfb48911897335e48ecc17/data/mp3d_layout/test/img/uNb9QFRL6hY_c6410f47ad754d6cbd890ba7dff8b449.png</x:v>
      </x:c>
      <x:c r="M499" s="8" t="str">
        <x:v>uNb9QFRL6hY_c6410f47ad754d6cbd890ba7dff8b449</x:v>
      </x:c>
    </x:row>
    <x:row r="500" ht="44" customHeight="1">
      <x:c r="A500" s="8" t="str">
        <x:v>uNb9QFRL6hY</x:v>
      </x:c>
      <x:c r="B500" s="8" t="n">
        <x:v>67</x:v>
      </x:c>
      <x:c r="C500" s="8" t="str">
        <x:v>卫浴</x:v>
      </x:c>
      <x:c r="D500" s="8" t="str">
        <x:v>早期争议复核导出.user_type</x:v>
      </x:c>
      <x:c r="E500" s="8" t="str">
        <x:v>卫浴</x:v>
      </x:c>
      <x:c r="F500" s="8" t="str">
        <x:v>卫浴</x:v>
      </x:c>
      <x:c r="G500" s="8" t="n">
        <x:v>5</x:v>
      </x:c>
      <x:c r="H500" s="8" t="n">
        <x:v>4</x:v>
      </x:c>
      <x:c r="I500" s="8" t="n">
        <x:v>0</x:v>
      </x:c>
      <x:c r="J500" s="8" t="n">
        <x:v>15</x:v>
      </x:c>
      <x:c r="K500" s="8" t="str">
        <x:v>["G184"]</x:v>
      </x:c>
      <x:c r="L500" s="8" t="str">
        <x:v>https://github.com/Sparkling-Flames/3D_Manhattan_label/blob/844a4694627e1eacc6bfb48911897335e48ecc17/data/mp3d_layout/test/img/uNb9QFRL6hY_ca08ebfb2da647f68db41630637e400b.png</x:v>
      </x:c>
      <x:c r="M500" s="8" t="str">
        <x:v>uNb9QFRL6hY_ca08ebfb2da647f68db41630637e400b</x:v>
      </x:c>
    </x:row>
    <x:row r="501" ht="44" customHeight="1">
      <x:c r="A501" s="8" t="str">
        <x:v>uNb9QFRL6hY</x:v>
      </x:c>
      <x:c r="B501" s="8" t="n">
        <x:v>68</x:v>
      </x:c>
      <x:c r="C501" s="8" t="str">
        <x:v>卧室</x:v>
      </x:c>
      <x:c r="D501" s="8" t="str">
        <x:v>早期争议复核导出.user_type</x:v>
      </x:c>
      <x:c r="E501" s="8" t="str">
        <x:v>卧室</x:v>
      </x:c>
      <x:c r="F501" s="8" t="str">
        <x:v>卧室</x:v>
      </x:c>
      <x:c r="G501" s="8" t="n">
        <x:v>5</x:v>
      </x:c>
      <x:c r="H501" s="8" t="n">
        <x:v>4</x:v>
      </x:c>
      <x:c r="I501" s="8" t="n">
        <x:v>5</x:v>
      </x:c>
      <x:c r="J501" s="8" t="n">
        <x:v>12</x:v>
      </x:c>
      <x:c r="K501" s="8" t="str">
        <x:v>["G179"]</x:v>
      </x:c>
      <x:c r="L501" s="8" t="str">
        <x:v>https://github.com/Sparkling-Flames/3D_Manhattan_label/blob/844a4694627e1eacc6bfb48911897335e48ecc17/data/mp3d_layout/test/img/uNb9QFRL6hY_cdca0a1a2fc343bb94bacdc3045b2d8d.png</x:v>
      </x:c>
      <x:c r="M501" s="8" t="str">
        <x:v>uNb9QFRL6hY_cdca0a1a2fc343bb94bacdc3045b2d8d</x:v>
      </x:c>
    </x:row>
    <x:row r="502" ht="44" customHeight="1">
      <x:c r="A502" s="8" t="str">
        <x:v>uNb9QFRL6hY</x:v>
      </x:c>
      <x:c r="B502" s="8" t="n">
        <x:v>69</x:v>
      </x:c>
      <x:c r="C502" s="8" t="str">
        <x:v>通行与连接</x:v>
      </x:c>
      <x:c r="D502" s="8" t="str">
        <x:v>早期争议复核导出.user_type</x:v>
      </x:c>
      <x:c r="E502" s="8" t="str">
        <x:v>通行与连接</x:v>
      </x:c>
      <x:c r="F502" s="8" t="str">
        <x:v>通行与连接</x:v>
      </x:c>
      <x:c r="G502" s="8" t="n">
        <x:v>5</x:v>
      </x:c>
      <x:c r="H502" s="8" t="n">
        <x:v>5</x:v>
      </x:c>
      <x:c r="I502" s="8" t="n">
        <x:v>4</x:v>
      </x:c>
      <x:c r="J502" s="8" t="n">
        <x:v>11</x:v>
      </x:c>
      <x:c r="K502" s="8" t="str">
        <x:v>[]</x:v>
      </x:c>
      <x:c r="L502" s="8" t="str">
        <x:v>https://github.com/Sparkling-Flames/3D_Manhattan_label/blob/844a4694627e1eacc6bfb48911897335e48ecc17/data/mp3d_layout/test/img/uNb9QFRL6hY_ce88ee8b7ee84fca92c13ab16599d90e.png</x:v>
      </x:c>
      <x:c r="M502" s="8" t="str">
        <x:v>uNb9QFRL6hY_ce88ee8b7ee84fca92c13ab16599d90e</x:v>
      </x:c>
    </x:row>
    <x:row r="503" ht="44" customHeight="1">
      <x:c r="A503" s="8" t="str">
        <x:v>uNb9QFRL6hY</x:v>
      </x:c>
      <x:c r="B503" s="8" t="n">
        <x:v>70</x:v>
      </x:c>
      <x:c r="C503" s="8" t="str">
        <x:v>储藏与家务辅助</x:v>
      </x:c>
      <x:c r="D503" s="8" t="str">
        <x:v>早期争议复核导出.user_type</x:v>
      </x:c>
      <x:c r="E503" s="8" t="str">
        <x:v>储藏与家务辅助</x:v>
      </x:c>
      <x:c r="F503" s="8" t="str">
        <x:v>储藏与家务辅助</x:v>
      </x:c>
      <x:c r="G503" s="8" t="n">
        <x:v>25</x:v>
      </x:c>
      <x:c r="H503" s="8" t="n">
        <x:v>19</x:v>
      </x:c>
      <x:c r="I503" s="8" t="n">
        <x:v>0</x:v>
      </x:c>
      <x:c r="J503" s="8" t="n">
        <x:v>0</x:v>
      </x:c>
      <x:c r="K503" s="8" t="str">
        <x:v>["G182", "G200"]</x:v>
      </x:c>
      <x:c r="L503" s="8" t="str">
        <x:v>https://github.com/Sparkling-Flames/3D_Manhattan_label/blob/844a4694627e1eacc6bfb48911897335e48ecc17/data/mp3d_layout/test/img/uNb9QFRL6hY_d02f87bbb0414146a7a15070110a0384.png</x:v>
      </x:c>
      <x:c r="M503" s="8" t="str">
        <x:v>uNb9QFRL6hY_d02f87bbb0414146a7a15070110a0384</x:v>
      </x:c>
    </x:row>
    <x:row r="504" ht="44" customHeight="1">
      <x:c r="A504" s="8" t="str">
        <x:v>uNb9QFRL6hY</x:v>
      </x:c>
      <x:c r="B504" s="8" t="n">
        <x:v>71</x:v>
      </x:c>
      <x:c r="C504" s="8" t="str">
        <x:v>起居与休闲</x:v>
      </x:c>
      <x:c r="D504" s="8" t="str">
        <x:v>早期争议复核导出.user_type</x:v>
      </x:c>
      <x:c r="E504" s="8" t="str">
        <x:v>起居与休闲</x:v>
      </x:c>
      <x:c r="F504" s="8" t="str">
        <x:v>起居与休闲</x:v>
      </x:c>
      <x:c r="G504" s="8" t="n">
        <x:v>0</x:v>
      </x:c>
      <x:c r="H504" s="8" t="n">
        <x:v>0</x:v>
      </x:c>
      <x:c r="I504" s="8" t="n">
        <x:v>0</x:v>
      </x:c>
      <x:c r="J504" s="8" t="n">
        <x:v>19</x:v>
      </x:c>
      <x:c r="K504" s="8" t="str">
        <x:v>["G172"]</x:v>
      </x:c>
      <x:c r="L504" s="8" t="str">
        <x:v>https://github.com/Sparkling-Flames/3D_Manhattan_label/blob/844a4694627e1eacc6bfb48911897335e48ecc17/data/mp3d_layout/test/img/uNb9QFRL6hY_d11f14ddecbe406681d4980365ea5a43.png</x:v>
      </x:c>
      <x:c r="M504" s="8" t="str">
        <x:v>uNb9QFRL6hY_d11f14ddecbe406681d4980365ea5a43</x:v>
      </x:c>
    </x:row>
    <x:row r="505" ht="44" customHeight="1">
      <x:c r="A505" s="8" t="str">
        <x:v>uNb9QFRL6hY</x:v>
      </x:c>
      <x:c r="B505" s="8" t="n">
        <x:v>72</x:v>
      </x:c>
      <x:c r="C505" s="8" t="str">
        <x:v>工作与学习</x:v>
      </x:c>
      <x:c r="D505" s="8" t="str">
        <x:v>早期争议复核导出.user_type</x:v>
      </x:c>
      <x:c r="E505" s="8" t="str">
        <x:v>工作与学习</x:v>
      </x:c>
      <x:c r="F505" s="8" t="str">
        <x:v>工作与学习</x:v>
      </x:c>
      <x:c r="G505" s="8" t="n">
        <x:v>0</x:v>
      </x:c>
      <x:c r="H505" s="8" t="n">
        <x:v>0</x:v>
      </x:c>
      <x:c r="I505" s="8" t="n">
        <x:v>0</x:v>
      </x:c>
      <x:c r="J505" s="8" t="n">
        <x:v>19</x:v>
      </x:c>
      <x:c r="K505" s="8" t="str">
        <x:v>["G178"]</x:v>
      </x:c>
      <x:c r="L505" s="8" t="str">
        <x:v>https://github.com/Sparkling-Flames/3D_Manhattan_label/blob/844a4694627e1eacc6bfb48911897335e48ecc17/data/mp3d_layout/test/img/uNb9QFRL6hY_d5c47aa99b274a67b305aa601234f1f1.png</x:v>
      </x:c>
      <x:c r="M505" s="8" t="str">
        <x:v>uNb9QFRL6hY_d5c47aa99b274a67b305aa601234f1f1</x:v>
      </x:c>
    </x:row>
    <x:row r="506" ht="44" customHeight="1">
      <x:c r="A506" s="8" t="str">
        <x:v>uNb9QFRL6hY</x:v>
      </x:c>
      <x:c r="B506" s="8" t="n">
        <x:v>73</x:v>
      </x:c>
      <x:c r="C506" s="8" t="str">
        <x:v>通行与连接</x:v>
      </x:c>
      <x:c r="D506" s="8" t="str">
        <x:v>早期争议复核导出.user_type</x:v>
      </x:c>
      <x:c r="E506" s="8" t="str">
        <x:v>通行与连接</x:v>
      </x:c>
      <x:c r="F506" s="8" t="str">
        <x:v>通行与连接</x:v>
      </x:c>
      <x:c r="G506" s="8" t="n">
        <x:v>0</x:v>
      </x:c>
      <x:c r="H506" s="8" t="n">
        <x:v>0</x:v>
      </x:c>
      <x:c r="I506" s="8" t="n">
        <x:v>0</x:v>
      </x:c>
      <x:c r="J506" s="8" t="n">
        <x:v>19</x:v>
      </x:c>
      <x:c r="K506" s="8" t="str">
        <x:v>["G180"]</x:v>
      </x:c>
      <x:c r="L506" s="8" t="str">
        <x:v>https://github.com/Sparkling-Flames/3D_Manhattan_label/blob/844a4694627e1eacc6bfb48911897335e48ecc17/data/mp3d_layout/test/img/uNb9QFRL6hY_daf1cf81c53b4e439e7e649fa9b41341.png</x:v>
      </x:c>
      <x:c r="M506" s="8" t="str">
        <x:v>uNb9QFRL6hY_daf1cf81c53b4e439e7e649fa9b41341</x:v>
      </x:c>
    </x:row>
    <x:row r="507" ht="44" customHeight="1">
      <x:c r="A507" s="8" t="str">
        <x:v>uNb9QFRL6hY</x:v>
      </x:c>
      <x:c r="B507" s="8" t="n">
        <x:v>74</x:v>
      </x:c>
      <x:c r="C507" s="8" t="str">
        <x:v>储藏与家务辅助</x:v>
      </x:c>
      <x:c r="D507" s="8" t="str">
        <x:v>早期争议复核导出.user_type</x:v>
      </x:c>
      <x:c r="E507" s="8" t="str">
        <x:v>储藏与家务辅助</x:v>
      </x:c>
      <x:c r="F507" s="8" t="str">
        <x:v>储藏与家务辅助</x:v>
      </x:c>
      <x:c r="G507" s="8" t="n">
        <x:v>0</x:v>
      </x:c>
      <x:c r="H507" s="8" t="n">
        <x:v>0</x:v>
      </x:c>
      <x:c r="I507" s="8" t="n">
        <x:v>0</x:v>
      </x:c>
      <x:c r="J507" s="8" t="n">
        <x:v>19</x:v>
      </x:c>
      <x:c r="K507" s="8" t="str">
        <x:v>["G200"]</x:v>
      </x:c>
      <x:c r="L507" s="8" t="str">
        <x:v>https://github.com/Sparkling-Flames/3D_Manhattan_label/blob/844a4694627e1eacc6bfb48911897335e48ecc17/data/mp3d_layout/test/img/uNb9QFRL6hY_dba77340b24340be9c7242cba42f1e28.png</x:v>
      </x:c>
      <x:c r="M507" s="8" t="str">
        <x:v>uNb9QFRL6hY_dba77340b24340be9c7242cba42f1e28</x:v>
      </x:c>
    </x:row>
    <x:row r="508" ht="44" customHeight="1">
      <x:c r="A508" s="8" t="str">
        <x:v>uNb9QFRL6hY</x:v>
      </x:c>
      <x:c r="B508" s="8" t="n">
        <x:v>75</x:v>
      </x:c>
      <x:c r="C508" s="8" t="str">
        <x:v>卫浴</x:v>
      </x:c>
      <x:c r="D508" s="8" t="str">
        <x:v>早期争议复核导出.user_type</x:v>
      </x:c>
      <x:c r="E508" s="8" t="str">
        <x:v>卫浴</x:v>
      </x:c>
      <x:c r="F508" s="8" t="str">
        <x:v>卫浴</x:v>
      </x:c>
      <x:c r="G508" s="8" t="n">
        <x:v>0</x:v>
      </x:c>
      <x:c r="H508" s="8" t="n">
        <x:v>0</x:v>
      </x:c>
      <x:c r="I508" s="8" t="n">
        <x:v>0</x:v>
      </x:c>
      <x:c r="J508" s="8" t="n">
        <x:v>19</x:v>
      </x:c>
      <x:c r="K508" s="8" t="str">
        <x:v>["G197"]</x:v>
      </x:c>
      <x:c r="L508" s="8" t="str">
        <x:v>https://github.com/Sparkling-Flames/3D_Manhattan_label/blob/844a4694627e1eacc6bfb48911897335e48ecc17/data/mp3d_layout/test/img/uNb9QFRL6hY_dcb326d4bb9b4a5f8d7e565ec32bce8e.png</x:v>
      </x:c>
      <x:c r="M508" s="8" t="str">
        <x:v>uNb9QFRL6hY_dcb326d4bb9b4a5f8d7e565ec32bce8e</x:v>
      </x:c>
    </x:row>
    <x:row r="509" ht="44" customHeight="1">
      <x:c r="A509" s="8" t="str">
        <x:v>uNb9QFRL6hY</x:v>
      </x:c>
      <x:c r="B509" s="8" t="n">
        <x:v>76</x:v>
      </x:c>
      <x:c r="C509" s="8" t="str">
        <x:v>储藏与家务辅助</x:v>
      </x:c>
      <x:c r="D509" s="8" t="str">
        <x:v>早期争议复核导出.user_type</x:v>
      </x:c>
      <x:c r="E509" s="8" t="str">
        <x:v>储藏与家务辅助</x:v>
      </x:c>
      <x:c r="F509" s="8" t="str">
        <x:v>通行与连接</x:v>
      </x:c>
      <x:c r="G509" s="8" t="n">
        <x:v>0</x:v>
      </x:c>
      <x:c r="H509" s="8" t="n">
        <x:v>0</x:v>
      </x:c>
      <x:c r="I509" s="8" t="n">
        <x:v>0</x:v>
      </x:c>
      <x:c r="J509" s="8" t="n">
        <x:v>19</x:v>
      </x:c>
      <x:c r="K509" s="8" t="str">
        <x:v>[]</x:v>
      </x:c>
      <x:c r="L509" s="8" t="str">
        <x:v>https://github.com/Sparkling-Flames/3D_Manhattan_label/blob/844a4694627e1eacc6bfb48911897335e48ecc17/data/mp3d_layout/test/img/uNb9QFRL6hY_dcbe971afee14c57beb3c76980ead77a.png</x:v>
      </x:c>
      <x:c r="M509" s="8" t="str">
        <x:v>uNb9QFRL6hY_dcbe971afee14c57beb3c76980ead77a</x:v>
      </x:c>
    </x:row>
    <x:row r="510" ht="44" customHeight="1">
      <x:c r="A510" s="8" t="str">
        <x:v>uNb9QFRL6hY</x:v>
      </x:c>
      <x:c r="B510" s="8" t="n">
        <x:v>77</x:v>
      </x:c>
      <x:c r="C510" s="8" t="str">
        <x:v>储藏与家务辅助</x:v>
      </x:c>
      <x:c r="D510" s="8" t="str">
        <x:v>早期争议复核导出.user_type</x:v>
      </x:c>
      <x:c r="E510" s="8" t="str">
        <x:v>储藏与家务辅助</x:v>
      </x:c>
      <x:c r="F510" s="8" t="str">
        <x:v>通行与连接</x:v>
      </x:c>
      <x:c r="G510" s="8" t="n">
        <x:v>0</x:v>
      </x:c>
      <x:c r="H510" s="8" t="n">
        <x:v>0</x:v>
      </x:c>
      <x:c r="I510" s="8" t="n">
        <x:v>0</x:v>
      </x:c>
      <x:c r="J510" s="8" t="n">
        <x:v>19</x:v>
      </x:c>
      <x:c r="K510" s="8" t="str">
        <x:v>["G189"]</x:v>
      </x:c>
      <x:c r="L510" s="8" t="str">
        <x:v>https://github.com/Sparkling-Flames/3D_Manhattan_label/blob/844a4694627e1eacc6bfb48911897335e48ecc17/data/mp3d_layout/test/img/uNb9QFRL6hY_ddd25dd6cdec45f1a5222ed50c061b9b.png</x:v>
      </x:c>
      <x:c r="M510" s="8" t="str">
        <x:v>uNb9QFRL6hY_ddd25dd6cdec45f1a5222ed50c061b9b</x:v>
      </x:c>
    </x:row>
    <x:row r="511" ht="44" customHeight="1">
      <x:c r="A511" s="8" t="str">
        <x:v>uNb9QFRL6hY</x:v>
      </x:c>
      <x:c r="B511" s="8" t="n">
        <x:v>78</x:v>
      </x:c>
      <x:c r="C511" s="8" t="str">
        <x:v>工作与学习</x:v>
      </x:c>
      <x:c r="D511" s="8" t="str">
        <x:v>早期争议复核导出.user_type</x:v>
      </x:c>
      <x:c r="E511" s="8" t="str">
        <x:v>工作与学习</x:v>
      </x:c>
      <x:c r="F511" s="8" t="str">
        <x:v>工作与学习</x:v>
      </x:c>
      <x:c r="G511" s="8" t="n">
        <x:v>0</x:v>
      </x:c>
      <x:c r="H511" s="8" t="n">
        <x:v>0</x:v>
      </x:c>
      <x:c r="I511" s="8" t="n">
        <x:v>0</x:v>
      </x:c>
      <x:c r="J511" s="8" t="n">
        <x:v>19</x:v>
      </x:c>
      <x:c r="K511" s="8" t="str">
        <x:v>["G178"]</x:v>
      </x:c>
      <x:c r="L511" s="8" t="str">
        <x:v>https://github.com/Sparkling-Flames/3D_Manhattan_label/blob/844a4694627e1eacc6bfb48911897335e48ecc17/data/mp3d_layout/test/img/uNb9QFRL6hY_e0b8950793b447bd8b9f916e98e849d1.png</x:v>
      </x:c>
      <x:c r="M511" s="8" t="str">
        <x:v>uNb9QFRL6hY_e0b8950793b447bd8b9f916e98e849d1</x:v>
      </x:c>
    </x:row>
    <x:row r="512" ht="44" customHeight="1">
      <x:c r="A512" s="8" t="str">
        <x:v>uNb9QFRL6hY</x:v>
      </x:c>
      <x:c r="B512" s="8" t="n">
        <x:v>79</x:v>
      </x:c>
      <x:c r="C512" s="8" t="str">
        <x:v>工作与学习</x:v>
      </x:c>
      <x:c r="D512" s="8" t="str">
        <x:v>早期争议复核导出.user_type</x:v>
      </x:c>
      <x:c r="E512" s="8" t="str">
        <x:v>工作与学习</x:v>
      </x:c>
      <x:c r="F512" s="8" t="str">
        <x:v>工作与学习</x:v>
      </x:c>
      <x:c r="G512" s="8" t="n">
        <x:v>0</x:v>
      </x:c>
      <x:c r="H512" s="8" t="n">
        <x:v>0</x:v>
      </x:c>
      <x:c r="I512" s="8" t="n">
        <x:v>0</x:v>
      </x:c>
      <x:c r="J512" s="8" t="n">
        <x:v>19</x:v>
      </x:c>
      <x:c r="K512" s="8" t="str">
        <x:v>["G178"]</x:v>
      </x:c>
      <x:c r="L512" s="8" t="str">
        <x:v>https://github.com/Sparkling-Flames/3D_Manhattan_label/blob/844a4694627e1eacc6bfb48911897335e48ecc17/data/mp3d_layout/test/img/uNb9QFRL6hY_e24473d2b8a24568b89c1c4c2a4a9bf1.png</x:v>
      </x:c>
      <x:c r="M512" s="8" t="str">
        <x:v>uNb9QFRL6hY_e24473d2b8a24568b89c1c4c2a4a9bf1</x:v>
      </x:c>
    </x:row>
    <x:row r="513" ht="44" customHeight="1">
      <x:c r="A513" s="8" t="str">
        <x:v>uNb9QFRL6hY</x:v>
      </x:c>
      <x:c r="B513" s="8" t="n">
        <x:v>80</x:v>
      </x:c>
      <x:c r="C513" s="8" t="str">
        <x:v>卧室</x:v>
      </x:c>
      <x:c r="D513" s="8" t="str">
        <x:v>早期争议复核导出.user_type</x:v>
      </x:c>
      <x:c r="E513" s="8" t="str">
        <x:v>卧室</x:v>
      </x:c>
      <x:c r="F513" s="8" t="str">
        <x:v>卧室</x:v>
      </x:c>
      <x:c r="G513" s="8" t="n">
        <x:v>0</x:v>
      </x:c>
      <x:c r="H513" s="8" t="n">
        <x:v>0</x:v>
      </x:c>
      <x:c r="I513" s="8" t="n">
        <x:v>0</x:v>
      </x:c>
      <x:c r="J513" s="8" t="n">
        <x:v>19</x:v>
      </x:c>
      <x:c r="K513" s="8" t="str">
        <x:v>["G174"]</x:v>
      </x:c>
      <x:c r="L513" s="8" t="str">
        <x:v>https://github.com/Sparkling-Flames/3D_Manhattan_label/blob/844a4694627e1eacc6bfb48911897335e48ecc17/data/mp3d_layout/test/img/uNb9QFRL6hY_e39b52c7eedc4d859fca7888cab531ae.png</x:v>
      </x:c>
      <x:c r="M513" s="8" t="str">
        <x:v>uNb9QFRL6hY_e39b52c7eedc4d859fca7888cab531ae</x:v>
      </x:c>
    </x:row>
    <x:row r="514" ht="44" customHeight="1">
      <x:c r="A514" s="8" t="str">
        <x:v>uNb9QFRL6hY</x:v>
      </x:c>
      <x:c r="B514" s="8" t="n">
        <x:v>81</x:v>
      </x:c>
      <x:c r="C514" s="8" t="str">
        <x:v>卧室</x:v>
      </x:c>
      <x:c r="D514" s="8" t="str">
        <x:v>早期争议复核导出.user_type</x:v>
      </x:c>
      <x:c r="E514" s="8" t="str">
        <x:v>卧室</x:v>
      </x:c>
      <x:c r="F514" s="8" t="str">
        <x:v>卧室</x:v>
      </x:c>
      <x:c r="G514" s="8" t="n">
        <x:v>0</x:v>
      </x:c>
      <x:c r="H514" s="8" t="n">
        <x:v>0</x:v>
      </x:c>
      <x:c r="I514" s="8" t="n">
        <x:v>0</x:v>
      </x:c>
      <x:c r="J514" s="8" t="n">
        <x:v>19</x:v>
      </x:c>
      <x:c r="K514" s="8" t="str">
        <x:v>["G179"]</x:v>
      </x:c>
      <x:c r="L514" s="8" t="str">
        <x:v>https://github.com/Sparkling-Flames/3D_Manhattan_label/blob/844a4694627e1eacc6bfb48911897335e48ecc17/data/mp3d_layout/test/img/uNb9QFRL6hY_e8fcf8c5bd324655a25186117151ccbd.png</x:v>
      </x:c>
      <x:c r="M514" s="8" t="str">
        <x:v>uNb9QFRL6hY_e8fcf8c5bd324655a25186117151ccbd</x:v>
      </x:c>
    </x:row>
    <x:row r="515" ht="44" customHeight="1">
      <x:c r="A515" s="8" t="str">
        <x:v>uNb9QFRL6hY</x:v>
      </x:c>
      <x:c r="B515" s="8" t="n">
        <x:v>82</x:v>
      </x:c>
      <x:c r="C515" s="8" t="str">
        <x:v>卫浴</x:v>
      </x:c>
      <x:c r="D515" s="8" t="str">
        <x:v>早期争议复核导出.user_type</x:v>
      </x:c>
      <x:c r="E515" s="8" t="str">
        <x:v>卫浴</x:v>
      </x:c>
      <x:c r="F515" s="8" t="str">
        <x:v>卫浴</x:v>
      </x:c>
      <x:c r="G515" s="8" t="n">
        <x:v>5</x:v>
      </x:c>
      <x:c r="H515" s="8" t="n">
        <x:v>5</x:v>
      </x:c>
      <x:c r="I515" s="8" t="n">
        <x:v>0</x:v>
      </x:c>
      <x:c r="J515" s="8" t="n">
        <x:v>14</x:v>
      </x:c>
      <x:c r="K515" s="8" t="str">
        <x:v>["G196"]</x:v>
      </x:c>
      <x:c r="L515" s="8" t="str">
        <x:v>https://github.com/Sparkling-Flames/3D_Manhattan_label/blob/844a4694627e1eacc6bfb48911897335e48ecc17/data/mp3d_layout/test/img/uNb9QFRL6hY_f4eb9862530a4f909b46f51d1887d05f.png</x:v>
      </x:c>
      <x:c r="M515" s="8" t="str">
        <x:v>uNb9QFRL6hY_f4eb9862530a4f909b46f51d1887d05f</x:v>
      </x:c>
    </x:row>
    <x:row r="516" ht="44" customHeight="1">
      <x:c r="A516" s="8" t="str">
        <x:v>uNb9QFRL6hY</x:v>
      </x:c>
      <x:c r="B516" s="8" t="n">
        <x:v>83</x:v>
      </x:c>
      <x:c r="C516" s="8" t="str">
        <x:v>通行与连接</x:v>
      </x:c>
      <x:c r="D516" s="8" t="str">
        <x:v>后续41图亲审.current_classification.coarse_type</x:v>
      </x:c>
      <x:c r="E516" s="8" t="str">
        <x:v>通行与连接</x:v>
      </x:c>
      <x:c r="F516" s="8" t="str">
        <x:v>通行与连接</x:v>
      </x:c>
      <x:c r="G516" s="8" t="n">
        <x:v>5</x:v>
      </x:c>
      <x:c r="H516" s="8" t="n">
        <x:v>4</x:v>
      </x:c>
      <x:c r="I516" s="8" t="n">
        <x:v>0</x:v>
      </x:c>
      <x:c r="J516" s="8" t="n">
        <x:v>15</x:v>
      </x:c>
      <x:c r="K516" s="8" t="str">
        <x:v>["G189"]</x:v>
      </x:c>
      <x:c r="L516" s="8" t="str">
        <x:v>https://github.com/Sparkling-Flames/3D_Manhattan_label/blob/844a4694627e1eacc6bfb48911897335e48ecc17/data/mp3d_layout/test/img/uNb9QFRL6hY_f7944295a76541b186e6a557ebdbba14.png</x:v>
      </x:c>
      <x:c r="M516" s="8" t="str">
        <x:v>uNb9QFRL6hY_f7944295a76541b186e6a557ebdbba14</x:v>
      </x:c>
    </x:row>
    <x:row r="517" ht="44" customHeight="1">
      <x:c r="A517" s="8" t="str">
        <x:v>uNb9QFRL6hY</x:v>
      </x:c>
      <x:c r="B517" s="8" t="n">
        <x:v>84</x:v>
      </x:c>
      <x:c r="C517" s="8" t="str">
        <x:v>通行与连接</x:v>
      </x:c>
      <x:c r="D517" s="8" t="str">
        <x:v>早期争议复核导出.user_type</x:v>
      </x:c>
      <x:c r="E517" s="8" t="str">
        <x:v>通行与连接</x:v>
      </x:c>
      <x:c r="F517" s="8" t="str">
        <x:v>通行与连接</x:v>
      </x:c>
      <x:c r="G517" s="8" t="n">
        <x:v>0</x:v>
      </x:c>
      <x:c r="H517" s="8" t="n">
        <x:v>0</x:v>
      </x:c>
      <x:c r="I517" s="8" t="n">
        <x:v>0</x:v>
      </x:c>
      <x:c r="J517" s="8" t="n">
        <x:v>19</x:v>
      </x:c>
      <x:c r="K517" s="8" t="str">
        <x:v>["G192"]</x:v>
      </x:c>
      <x:c r="L517" s="8" t="str">
        <x:v>https://github.com/Sparkling-Flames/3D_Manhattan_label/blob/844a4694627e1eacc6bfb48911897335e48ecc17/data/mp3d_layout/test/img/uNb9QFRL6hY_f8acfc899a4c49ddad71fdfcfd899b2f.png</x:v>
      </x:c>
      <x:c r="M517" s="8" t="str">
        <x:v>uNb9QFRL6hY_f8acfc899a4c49ddad71fdfcfd899b2f</x:v>
      </x:c>
    </x:row>
    <x:row r="518" ht="44" customHeight="1">
      <x:c r="A518" s="8" t="str">
        <x:v>uNb9QFRL6hY</x:v>
      </x:c>
      <x:c r="B518" s="8" t="n">
        <x:v>85</x:v>
      </x:c>
      <x:c r="C518" s="8" t="str">
        <x:v>卫浴</x:v>
      </x:c>
      <x:c r="D518" s="8" t="str">
        <x:v>后续41图亲审.current_classification.coarse_type</x:v>
      </x:c>
      <x:c r="E518" s="8" t="str">
        <x:v>卫浴</x:v>
      </x:c>
      <x:c r="F518" s="8" t="str">
        <x:v>卫浴</x:v>
      </x:c>
      <x:c r="G518" s="8" t="n">
        <x:v>0</x:v>
      </x:c>
      <x:c r="H518" s="8" t="n">
        <x:v>0</x:v>
      </x:c>
      <x:c r="I518" s="8" t="n">
        <x:v>0</x:v>
      </x:c>
      <x:c r="J518" s="8" t="n">
        <x:v>19</x:v>
      </x:c>
      <x:c r="K518" s="8" t="str">
        <x:v>["G199"]</x:v>
      </x:c>
      <x:c r="L518" s="8" t="str">
        <x:v>https://github.com/Sparkling-Flames/3D_Manhattan_label/blob/844a4694627e1eacc6bfb48911897335e48ecc17/data/mp3d_layout/test/img/uNb9QFRL6hY_fcba704f80a04361842c0fdcb776becc.png</x:v>
      </x:c>
      <x:c r="M518" s="8" t="str">
        <x:v>uNb9QFRL6hY_fcba704f80a04361842c0fdcb776becc</x:v>
      </x:c>
    </x:row>
    <x:row r="519" ht="44" customHeight="1">
      <x:c r="A519" s="8" t="str">
        <x:v>uNb9QFRL6hY</x:v>
      </x:c>
      <x:c r="B519" s="8" t="n">
        <x:v>86</x:v>
      </x:c>
      <x:c r="C519" s="8" t="str">
        <x:v>卧室</x:v>
      </x:c>
      <x:c r="D519" s="8" t="str">
        <x:v>早期争议复核导出.user_type</x:v>
      </x:c>
      <x:c r="E519" s="8" t="str">
        <x:v>卧室</x:v>
      </x:c>
      <x:c r="F519" s="8" t="str">
        <x:v>卧室</x:v>
      </x:c>
      <x:c r="G519" s="8" t="n">
        <x:v>0</x:v>
      </x:c>
      <x:c r="H519" s="8" t="n">
        <x:v>0</x:v>
      </x:c>
      <x:c r="I519" s="8" t="n">
        <x:v>0</x:v>
      </x:c>
      <x:c r="J519" s="8" t="n">
        <x:v>19</x:v>
      </x:c>
      <x:c r="K519" s="8" t="str">
        <x:v>["G179"]</x:v>
      </x:c>
      <x:c r="L519" s="8" t="str">
        <x:v>https://github.com/Sparkling-Flames/3D_Manhattan_label/blob/844a4694627e1eacc6bfb48911897335e48ecc17/data/mp3d_layout/test/img/uNb9QFRL6hY_fd10460fd2bc4c52af84e36e89357269.png</x:v>
      </x:c>
      <x:c r="M519" s="8" t="str">
        <x:v>uNb9QFRL6hY_fd10460fd2bc4c52af84e36e89357269</x:v>
      </x:c>
    </x:row>
    <x:row r="520" ht="44" customHeight="1">
      <x:c r="A520" s="8" t="str">
        <x:v>uNb9QFRL6hY</x:v>
      </x:c>
      <x:c r="B520" s="8" t="n">
        <x:v>87</x:v>
      </x:c>
      <x:c r="C520" s="8" t="str">
        <x:v>工作与学习</x:v>
      </x:c>
      <x:c r="D520" s="8" t="str">
        <x:v>早期争议复核导出.user_type</x:v>
      </x:c>
      <x:c r="E520" s="8" t="str">
        <x:v>工作与学习</x:v>
      </x:c>
      <x:c r="F520" s="8" t="str">
        <x:v>工作与学习</x:v>
      </x:c>
      <x:c r="G520" s="8" t="n">
        <x:v>0</x:v>
      </x:c>
      <x:c r="H520" s="8" t="n">
        <x:v>0</x:v>
      </x:c>
      <x:c r="I520" s="8" t="n">
        <x:v>0</x:v>
      </x:c>
      <x:c r="J520" s="8" t="n">
        <x:v>19</x:v>
      </x:c>
      <x:c r="K520" s="8" t="str">
        <x:v>["G178"]</x:v>
      </x:c>
      <x:c r="L520" s="8" t="str">
        <x:v>https://github.com/Sparkling-Flames/3D_Manhattan_label/blob/844a4694627e1eacc6bfb48911897335e48ecc17/data/mp3d_layout/test/img/uNb9QFRL6hY_fd411e4f6035431593833d9d0beb4d32.png</x:v>
      </x:c>
      <x:c r="M520" s="8" t="str">
        <x:v>uNb9QFRL6hY_fd411e4f6035431593833d9d0beb4d32</x:v>
      </x:c>
    </x:row>
    <x:row r="521" ht="44" customHeight="1">
      <x:c r="A521" s="8" t="str">
        <x:v>uNb9QFRL6hY</x:v>
      </x:c>
      <x:c r="B521" s="8" t="n">
        <x:v>88</x:v>
      </x:c>
      <x:c r="C521" s="8" t="str">
        <x:v>卫浴</x:v>
      </x:c>
      <x:c r="D521" s="8" t="str">
        <x:v>早期争议复核导出.user_type</x:v>
      </x:c>
      <x:c r="E521" s="8" t="str">
        <x:v>卫浴</x:v>
      </x:c>
      <x:c r="F521" s="8" t="str">
        <x:v>卫浴</x:v>
      </x:c>
      <x:c r="G521" s="8" t="n">
        <x:v>5</x:v>
      </x:c>
      <x:c r="H521" s="8" t="n">
        <x:v>5</x:v>
      </x:c>
      <x:c r="I521" s="8" t="n">
        <x:v>0</x:v>
      </x:c>
      <x:c r="J521" s="8" t="n">
        <x:v>14</x:v>
      </x:c>
      <x:c r="K521" s="8" t="str">
        <x:v>["G184"]</x:v>
      </x:c>
      <x:c r="L521" s="8" t="str">
        <x:v>https://github.com/Sparkling-Flames/3D_Manhattan_label/blob/844a4694627e1eacc6bfb48911897335e48ecc17/data/mp3d_layout/test/img/uNb9QFRL6hY_fd8d4da92ec14b668ed3d2986616bd14.png</x:v>
      </x:c>
      <x:c r="M521" s="8" t="str">
        <x:v>uNb9QFRL6hY_fd8d4da92ec14b668ed3d2986616bd14</x:v>
      </x:c>
    </x:row>
    <x:row r="522" ht="44" customHeight="1">
      <x:c r="A522" s="8" t="str">
        <x:v>zsNo4HB9uLZ</x:v>
      </x:c>
      <x:c r="B522" s="8" t="n">
        <x:v>1</x:v>
      </x:c>
      <x:c r="C522" s="8" t="str">
        <x:v>卧室</x:v>
      </x:c>
      <x:c r="D522" s="8" t="str">
        <x:v>早期争议复核导出.user_type</x:v>
      </x:c>
      <x:c r="E522" s="8" t="str">
        <x:v>卧室</x:v>
      </x:c>
      <x:c r="F522" s="8" t="str">
        <x:v>卧室</x:v>
      </x:c>
      <x:c r="G522" s="8" t="n">
        <x:v>0</x:v>
      </x:c>
      <x:c r="H522" s="8" t="n">
        <x:v>0</x:v>
      </x:c>
      <x:c r="I522" s="8" t="n">
        <x:v>0</x:v>
      </x:c>
      <x:c r="J522" s="8" t="n">
        <x:v>19</x:v>
      </x:c>
      <x:c r="K522" s="8" t="str">
        <x:v>["G254"]</x:v>
      </x:c>
      <x:c r="L522" s="8" t="str">
        <x:v>https://github.com/Sparkling-Flames/3D_Manhattan_label/blob/844a4694627e1eacc6bfb48911897335e48ecc17/data/mp3d_layout/valid/img/zsNo4HB9uLZ_19b2aa3137ae44f19821ec0f3da4a836.png</x:v>
      </x:c>
      <x:c r="M522" s="8" t="str">
        <x:v>zsNo4HB9uLZ_19b2aa3137ae44f19821ec0f3da4a836</x:v>
      </x:c>
    </x:row>
    <x:row r="523" ht="44" customHeight="1">
      <x:c r="A523" s="8" t="str">
        <x:v>zsNo4HB9uLZ</x:v>
      </x:c>
      <x:c r="B523" s="8" t="n">
        <x:v>2</x:v>
      </x:c>
      <x:c r="C523" s="8" t="str">
        <x:v>起居与休闲</x:v>
      </x:c>
      <x:c r="D523" s="8" t="str">
        <x:v>早期争议复核导出.user_type</x:v>
      </x:c>
      <x:c r="E523" s="8" t="str">
        <x:v>起居与休闲</x:v>
      </x:c>
      <x:c r="F523" s="8" t="str">
        <x:v>起居与休闲</x:v>
      </x:c>
      <x:c r="G523" s="8" t="n">
        <x:v>1</x:v>
      </x:c>
      <x:c r="H523" s="8" t="n">
        <x:v>1</x:v>
      </x:c>
      <x:c r="I523" s="8" t="n">
        <x:v>0</x:v>
      </x:c>
      <x:c r="J523" s="8" t="n">
        <x:v>18</x:v>
      </x:c>
      <x:c r="K523" s="8" t="str">
        <x:v>[]</x:v>
      </x:c>
      <x:c r="L523" s="8" t="str">
        <x:v>https://github.com/Sparkling-Flames/3D_Manhattan_label/blob/844a4694627e1eacc6bfb48911897335e48ecc17/data/mp3d_layout/valid/img/zsNo4HB9uLZ_2caadd7bc71c43d5ad10f4e7f10a3455.png</x:v>
      </x:c>
      <x:c r="M523" s="8" t="str">
        <x:v>zsNo4HB9uLZ_2caadd7bc71c43d5ad10f4e7f10a3455</x:v>
      </x:c>
    </x:row>
    <x:row r="524" ht="44" customHeight="1">
      <x:c r="A524" s="8" t="str">
        <x:v>zsNo4HB9uLZ</x:v>
      </x:c>
      <x:c r="B524" s="8" t="n">
        <x:v>3</x:v>
      </x:c>
      <x:c r="C524" s="8" t="str">
        <x:v>卫浴</x:v>
      </x:c>
      <x:c r="D524" s="8" t="str">
        <x:v>早期争议复核导出.user_type</x:v>
      </x:c>
      <x:c r="E524" s="8" t="str">
        <x:v>卫浴</x:v>
      </x:c>
      <x:c r="F524" s="8" t="str">
        <x:v>卫浴</x:v>
      </x:c>
      <x:c r="G524" s="8" t="n">
        <x:v>0</x:v>
      </x:c>
      <x:c r="H524" s="8" t="n">
        <x:v>0</x:v>
      </x:c>
      <x:c r="I524" s="8" t="n">
        <x:v>0</x:v>
      </x:c>
      <x:c r="J524" s="8" t="n">
        <x:v>19</x:v>
      </x:c>
      <x:c r="K524" s="8" t="str">
        <x:v>["G255"]</x:v>
      </x:c>
      <x:c r="L524" s="8" t="str">
        <x:v>https://github.com/Sparkling-Flames/3D_Manhattan_label/blob/844a4694627e1eacc6bfb48911897335e48ecc17/data/mp3d_layout/valid/img/zsNo4HB9uLZ_2e349b06dd94494ea4b887458e4ab4a3.png</x:v>
      </x:c>
      <x:c r="M524" s="8" t="str">
        <x:v>zsNo4HB9uLZ_2e349b06dd94494ea4b887458e4ab4a3</x:v>
      </x:c>
    </x:row>
    <x:row r="525" ht="44" customHeight="1">
      <x:c r="A525" s="8" t="str">
        <x:v>zsNo4HB9uLZ</x:v>
      </x:c>
      <x:c r="B525" s="8" t="n">
        <x:v>4</x:v>
      </x:c>
      <x:c r="C525" s="8" t="str">
        <x:v>卧室</x:v>
      </x:c>
      <x:c r="D525" s="8" t="str">
        <x:v>早期争议复核导出.user_type</x:v>
      </x:c>
      <x:c r="E525" s="8" t="str">
        <x:v>卧室</x:v>
      </x:c>
      <x:c r="F525" s="8" t="str">
        <x:v>卧室</x:v>
      </x:c>
      <x:c r="G525" s="8" t="n">
        <x:v>0</x:v>
      </x:c>
      <x:c r="H525" s="8" t="n">
        <x:v>0</x:v>
      </x:c>
      <x:c r="I525" s="8" t="n">
        <x:v>0</x:v>
      </x:c>
      <x:c r="J525" s="8" t="n">
        <x:v>19</x:v>
      </x:c>
      <x:c r="K525" s="8" t="str">
        <x:v>["G256"]</x:v>
      </x:c>
      <x:c r="L525" s="8" t="str">
        <x:v>https://github.com/Sparkling-Flames/3D_Manhattan_label/blob/844a4694627e1eacc6bfb48911897335e48ecc17/data/mp3d_layout/valid/img/zsNo4HB9uLZ_38260e04f02546a6af3dcaf8689546a2.png</x:v>
      </x:c>
      <x:c r="M525" s="8" t="str">
        <x:v>zsNo4HB9uLZ_38260e04f02546a6af3dcaf8689546a2</x:v>
      </x:c>
    </x:row>
    <x:row r="526" ht="44" customHeight="1">
      <x:c r="A526" s="8" t="str">
        <x:v>zsNo4HB9uLZ</x:v>
      </x:c>
      <x:c r="B526" s="8" t="n">
        <x:v>5</x:v>
      </x:c>
      <x:c r="C526" s="8" t="str">
        <x:v>卫浴</x:v>
      </x:c>
      <x:c r="D526" s="8" t="str">
        <x:v>早期争议复核导出.user_type</x:v>
      </x:c>
      <x:c r="E526" s="8" t="str">
        <x:v>卫浴</x:v>
      </x:c>
      <x:c r="F526" s="8" t="str">
        <x:v>卫浴</x:v>
      </x:c>
      <x:c r="G526" s="8" t="n">
        <x:v>4</x:v>
      </x:c>
      <x:c r="H526" s="8" t="n">
        <x:v>4</x:v>
      </x:c>
      <x:c r="I526" s="8" t="n">
        <x:v>0</x:v>
      </x:c>
      <x:c r="J526" s="8" t="n">
        <x:v>15</x:v>
      </x:c>
      <x:c r="K526" s="8" t="str">
        <x:v>["G255"]</x:v>
      </x:c>
      <x:c r="L526" s="8" t="str">
        <x:v>https://github.com/Sparkling-Flames/3D_Manhattan_label/blob/844a4694627e1eacc6bfb48911897335e48ecc17/data/mp3d_layout/valid/img/zsNo4HB9uLZ_4c0aab63a4434cf4878e6f5b3ce9a70b.png</x:v>
      </x:c>
      <x:c r="M526" s="8" t="str">
        <x:v>zsNo4HB9uLZ_4c0aab63a4434cf4878e6f5b3ce9a70b</x:v>
      </x:c>
    </x:row>
    <x:row r="527" ht="44" customHeight="1">
      <x:c r="A527" s="8" t="str">
        <x:v>zsNo4HB9uLZ</x:v>
      </x:c>
      <x:c r="B527" s="8" t="n">
        <x:v>6</x:v>
      </x:c>
      <x:c r="C527" s="8" t="str">
        <x:v>卫浴</x:v>
      </x:c>
      <x:c r="D527" s="8" t="str">
        <x:v>早期争议复核导出.user_type</x:v>
      </x:c>
      <x:c r="E527" s="8" t="str">
        <x:v>卫浴</x:v>
      </x:c>
      <x:c r="F527" s="8" t="str">
        <x:v>卫浴</x:v>
      </x:c>
      <x:c r="G527" s="8" t="n">
        <x:v>0</x:v>
      </x:c>
      <x:c r="H527" s="8" t="n">
        <x:v>0</x:v>
      </x:c>
      <x:c r="I527" s="8" t="n">
        <x:v>0</x:v>
      </x:c>
      <x:c r="J527" s="8" t="n">
        <x:v>19</x:v>
      </x:c>
      <x:c r="K527" s="8" t="str">
        <x:v>[]</x:v>
      </x:c>
      <x:c r="L527" s="8" t="str">
        <x:v>https://github.com/Sparkling-Flames/3D_Manhattan_label/blob/844a4694627e1eacc6bfb48911897335e48ecc17/data/mp3d_layout/valid/img/zsNo4HB9uLZ_5340c12f388446b589bf2c082c39bd5e.png</x:v>
      </x:c>
      <x:c r="M527" s="8" t="str">
        <x:v>zsNo4HB9uLZ_5340c12f388446b589bf2c082c39bd5e</x:v>
      </x:c>
    </x:row>
    <x:row r="528" ht="44" customHeight="1">
      <x:c r="A528" s="8" t="str">
        <x:v>zsNo4HB9uLZ</x:v>
      </x:c>
      <x:c r="B528" s="8" t="n">
        <x:v>7</x:v>
      </x:c>
      <x:c r="C528" s="8" t="str">
        <x:v>卧室</x:v>
      </x:c>
      <x:c r="D528" s="8" t="str">
        <x:v>早期争议复核导出.user_type</x:v>
      </x:c>
      <x:c r="E528" s="8" t="str">
        <x:v>卧室</x:v>
      </x:c>
      <x:c r="F528" s="8" t="str">
        <x:v>卧室</x:v>
      </x:c>
      <x:c r="G528" s="8" t="n">
        <x:v>0</x:v>
      </x:c>
      <x:c r="H528" s="8" t="n">
        <x:v>0</x:v>
      </x:c>
      <x:c r="I528" s="8" t="n">
        <x:v>0</x:v>
      </x:c>
      <x:c r="J528" s="8" t="n">
        <x:v>19</x:v>
      </x:c>
      <x:c r="K528" s="8" t="str">
        <x:v>["G254"]</x:v>
      </x:c>
      <x:c r="L528" s="8" t="str">
        <x:v>https://github.com/Sparkling-Flames/3D_Manhattan_label/blob/844a4694627e1eacc6bfb48911897335e48ecc17/data/mp3d_layout/valid/img/zsNo4HB9uLZ_5e966f4bdbc849f4b2b200e2f8cc49a0.png</x:v>
      </x:c>
      <x:c r="M528" s="8" t="str">
        <x:v>zsNo4HB9uLZ_5e966f4bdbc849f4b2b200e2f8cc49a0</x:v>
      </x:c>
    </x:row>
    <x:row r="529" ht="44" customHeight="1">
      <x:c r="A529" s="8" t="str">
        <x:v>zsNo4HB9uLZ</x:v>
      </x:c>
      <x:c r="B529" s="8" t="n">
        <x:v>8</x:v>
      </x:c>
      <x:c r="C529" s="8" t="str">
        <x:v>储藏与家务辅助</x:v>
      </x:c>
      <x:c r="D529" s="8" t="str">
        <x:v>早期争议复核导出.user_type</x:v>
      </x:c>
      <x:c r="E529" s="8" t="str">
        <x:v>储藏与家务辅助</x:v>
      </x:c>
      <x:c r="F529" s="8" t="str">
        <x:v>储藏与家务辅助</x:v>
      </x:c>
      <x:c r="G529" s="8" t="n">
        <x:v>0</x:v>
      </x:c>
      <x:c r="H529" s="8" t="n">
        <x:v>0</x:v>
      </x:c>
      <x:c r="I529" s="8" t="n">
        <x:v>0</x:v>
      </x:c>
      <x:c r="J529" s="8" t="n">
        <x:v>19</x:v>
      </x:c>
      <x:c r="K529" s="8" t="str">
        <x:v>["G257", "G258"]</x:v>
      </x:c>
      <x:c r="L529" s="8" t="str">
        <x:v>https://github.com/Sparkling-Flames/3D_Manhattan_label/blob/844a4694627e1eacc6bfb48911897335e48ecc17/data/mp3d_layout/valid/img/zsNo4HB9uLZ_6472b7993a6e440a9d0e12b560ff4616.png</x:v>
      </x:c>
      <x:c r="M529" s="8" t="str">
        <x:v>zsNo4HB9uLZ_6472b7993a6e440a9d0e12b560ff4616</x:v>
      </x:c>
    </x:row>
    <x:row r="530" ht="44" customHeight="1">
      <x:c r="A530" s="8" t="str">
        <x:v>zsNo4HB9uLZ</x:v>
      </x:c>
      <x:c r="B530" s="8" t="n">
        <x:v>9</x:v>
      </x:c>
      <x:c r="C530" s="8" t="str">
        <x:v>储藏与家务辅助</x:v>
      </x:c>
      <x:c r="D530" s="8" t="str">
        <x:v>早期争议复核导出.user_type</x:v>
      </x:c>
      <x:c r="E530" s="8" t="str">
        <x:v>储藏与家务辅助</x:v>
      </x:c>
      <x:c r="F530" s="8" t="str">
        <x:v>储藏与家务辅助</x:v>
      </x:c>
      <x:c r="G530" s="8" t="n">
        <x:v>4</x:v>
      </x:c>
      <x:c r="H530" s="8" t="n">
        <x:v>4</x:v>
      </x:c>
      <x:c r="I530" s="8" t="n">
        <x:v>0</x:v>
      </x:c>
      <x:c r="J530" s="8" t="n">
        <x:v>15</x:v>
      </x:c>
      <x:c r="K530" s="8" t="str">
        <x:v>["G257"]</x:v>
      </x:c>
      <x:c r="L530" s="8" t="str">
        <x:v>https://github.com/Sparkling-Flames/3D_Manhattan_label/blob/844a4694627e1eacc6bfb48911897335e48ecc17/data/mp3d_layout/valid/img/zsNo4HB9uLZ_65eefaf93e6249908e6389eb4eabf0f5.png</x:v>
      </x:c>
      <x:c r="M530" s="8" t="str">
        <x:v>zsNo4HB9uLZ_65eefaf93e6249908e6389eb4eabf0f5</x:v>
      </x:c>
    </x:row>
    <x:row r="531" ht="44" customHeight="1">
      <x:c r="A531" s="8" t="str">
        <x:v>zsNo4HB9uLZ</x:v>
      </x:c>
      <x:c r="B531" s="8" t="n">
        <x:v>10</x:v>
      </x:c>
      <x:c r="C531" s="8" t="str">
        <x:v>通行与连接</x:v>
      </x:c>
      <x:c r="D531" s="8" t="str">
        <x:v>早期争议复核导出.user_type</x:v>
      </x:c>
      <x:c r="E531" s="8" t="str">
        <x:v>通行与连接</x:v>
      </x:c>
      <x:c r="F531" s="8" t="str">
        <x:v>通行与连接</x:v>
      </x:c>
      <x:c r="G531" s="8" t="n">
        <x:v>0</x:v>
      </x:c>
      <x:c r="H531" s="8" t="n">
        <x:v>0</x:v>
      </x:c>
      <x:c r="I531" s="8" t="n">
        <x:v>0</x:v>
      </x:c>
      <x:c r="J531" s="8" t="n">
        <x:v>19</x:v>
      </x:c>
      <x:c r="K531" s="8" t="str">
        <x:v>["G258", "G259"]</x:v>
      </x:c>
      <x:c r="L531" s="8" t="str">
        <x:v>https://github.com/Sparkling-Flames/3D_Manhattan_label/blob/844a4694627e1eacc6bfb48911897335e48ecc17/data/mp3d_layout/valid/img/zsNo4HB9uLZ_7d1391357299496cbb82840960d05a66.png</x:v>
      </x:c>
      <x:c r="M531" s="8" t="str">
        <x:v>zsNo4HB9uLZ_7d1391357299496cbb82840960d05a66</x:v>
      </x:c>
    </x:row>
    <x:row r="532" ht="44" customHeight="1">
      <x:c r="A532" s="8" t="str">
        <x:v>zsNo4HB9uLZ</x:v>
      </x:c>
      <x:c r="B532" s="8" t="n">
        <x:v>11</x:v>
      </x:c>
      <x:c r="C532" s="8" t="str">
        <x:v>通行与连接</x:v>
      </x:c>
      <x:c r="D532" s="8" t="str">
        <x:v>早期争议复核导出.user_type</x:v>
      </x:c>
      <x:c r="E532" s="8" t="str">
        <x:v>通行与连接</x:v>
      </x:c>
      <x:c r="F532" s="8" t="str">
        <x:v>通行与连接</x:v>
      </x:c>
      <x:c r="G532" s="8" t="n">
        <x:v>2</x:v>
      </x:c>
      <x:c r="H532" s="8" t="n">
        <x:v>2</x:v>
      </x:c>
      <x:c r="I532" s="8" t="n">
        <x:v>0</x:v>
      </x:c>
      <x:c r="J532" s="8" t="n">
        <x:v>17</x:v>
      </x:c>
      <x:c r="K532" s="8" t="str">
        <x:v>["G260"]</x:v>
      </x:c>
      <x:c r="L532" s="8" t="str">
        <x:v>https://github.com/Sparkling-Flames/3D_Manhattan_label/blob/844a4694627e1eacc6bfb48911897335e48ecc17/data/mp3d_layout/valid/img/zsNo4HB9uLZ_935e0f6088a54fba87990835d1997d9a.png</x:v>
      </x:c>
      <x:c r="M532" s="8" t="str">
        <x:v>zsNo4HB9uLZ_935e0f6088a54fba87990835d1997d9a</x:v>
      </x:c>
    </x:row>
    <x:row r="533" ht="44" customHeight="1">
      <x:c r="A533" s="8" t="str">
        <x:v>zsNo4HB9uLZ</x:v>
      </x:c>
      <x:c r="B533" s="8" t="n">
        <x:v>12</x:v>
      </x:c>
      <x:c r="C533" s="8" t="str">
        <x:v>厨房与用餐</x:v>
      </x:c>
      <x:c r="D533" s="8" t="str">
        <x:v>早期争议复核导出.user_type</x:v>
      </x:c>
      <x:c r="E533" s="8" t="str">
        <x:v>厨房与用餐</x:v>
      </x:c>
      <x:c r="F533" s="8" t="str">
        <x:v>厨房与用餐</x:v>
      </x:c>
      <x:c r="G533" s="8" t="n">
        <x:v>0</x:v>
      </x:c>
      <x:c r="H533" s="8" t="n">
        <x:v>0</x:v>
      </x:c>
      <x:c r="I533" s="8" t="n">
        <x:v>0</x:v>
      </x:c>
      <x:c r="J533" s="8" t="n">
        <x:v>19</x:v>
      </x:c>
      <x:c r="K533" s="8" t="str">
        <x:v>[]</x:v>
      </x:c>
      <x:c r="L533" s="8" t="str">
        <x:v>https://github.com/Sparkling-Flames/3D_Manhattan_label/blob/844a4694627e1eacc6bfb48911897335e48ecc17/data/mp3d_layout/valid/img/zsNo4HB9uLZ_9b1e2472265c46989eb1c3911aa5971b.png</x:v>
      </x:c>
      <x:c r="M533" s="8" t="str">
        <x:v>zsNo4HB9uLZ_9b1e2472265c46989eb1c3911aa5971b</x:v>
      </x:c>
    </x:row>
    <x:row r="534" ht="44" customHeight="1">
      <x:c r="A534" s="8" t="str">
        <x:v>zsNo4HB9uLZ</x:v>
      </x:c>
      <x:c r="B534" s="8" t="n">
        <x:v>13</x:v>
      </x:c>
      <x:c r="C534" s="8" t="str">
        <x:v>卧室</x:v>
      </x:c>
      <x:c r="D534" s="8" t="str">
        <x:v>早期争议复核导出.user_type</x:v>
      </x:c>
      <x:c r="E534" s="8" t="str">
        <x:v>卧室</x:v>
      </x:c>
      <x:c r="F534" s="8" t="str">
        <x:v>卧室</x:v>
      </x:c>
      <x:c r="G534" s="8" t="n">
        <x:v>4</x:v>
      </x:c>
      <x:c r="H534" s="8" t="n">
        <x:v>4</x:v>
      </x:c>
      <x:c r="I534" s="8" t="n">
        <x:v>0</x:v>
      </x:c>
      <x:c r="J534" s="8" t="n">
        <x:v>15</x:v>
      </x:c>
      <x:c r="K534" s="8" t="str">
        <x:v>["G256"]</x:v>
      </x:c>
      <x:c r="L534" s="8" t="str">
        <x:v>https://github.com/Sparkling-Flames/3D_Manhattan_label/blob/844a4694627e1eacc6bfb48911897335e48ecc17/data/mp3d_layout/valid/img/zsNo4HB9uLZ_aabf649f606a48a1b16d5bdcd5970602.png</x:v>
      </x:c>
      <x:c r="M534" s="8" t="str">
        <x:v>zsNo4HB9uLZ_aabf649f606a48a1b16d5bdcd5970602</x:v>
      </x:c>
    </x:row>
    <x:row r="535" ht="44" customHeight="1">
      <x:c r="A535" s="8" t="str">
        <x:v>zsNo4HB9uLZ</x:v>
      </x:c>
      <x:c r="B535" s="8" t="n">
        <x:v>14</x:v>
      </x:c>
      <x:c r="C535" s="8" t="str">
        <x:v>通行与连接</x:v>
      </x:c>
      <x:c r="D535" s="8" t="str">
        <x:v>早期争议复核导出.user_type</x:v>
      </x:c>
      <x:c r="E535" s="8" t="str">
        <x:v>通行与连接</x:v>
      </x:c>
      <x:c r="F535" s="8" t="str">
        <x:v>通行与连接</x:v>
      </x:c>
      <x:c r="G535" s="8" t="n">
        <x:v>0</x:v>
      </x:c>
      <x:c r="H535" s="8" t="n">
        <x:v>0</x:v>
      </x:c>
      <x:c r="I535" s="8" t="n">
        <x:v>0</x:v>
      </x:c>
      <x:c r="J535" s="8" t="n">
        <x:v>19</x:v>
      </x:c>
      <x:c r="K535" s="8" t="str">
        <x:v>["G259"]</x:v>
      </x:c>
      <x:c r="L535" s="8" t="str">
        <x:v>https://github.com/Sparkling-Flames/3D_Manhattan_label/blob/844a4694627e1eacc6bfb48911897335e48ecc17/data/mp3d_layout/valid/img/zsNo4HB9uLZ_b5f873817a0b4b60b8447e96b0b4e955.png</x:v>
      </x:c>
      <x:c r="M535" s="8" t="str">
        <x:v>zsNo4HB9uLZ_b5f873817a0b4b60b8447e96b0b4e955</x:v>
      </x:c>
    </x:row>
    <x:row r="536" ht="44" customHeight="1">
      <x:c r="A536" s="8" t="str">
        <x:v>zsNo4HB9uLZ</x:v>
      </x:c>
      <x:c r="B536" s="8" t="n">
        <x:v>15</x:v>
      </x:c>
      <x:c r="C536" s="8" t="str">
        <x:v>通行与连接</x:v>
      </x:c>
      <x:c r="D536" s="8" t="str">
        <x:v>早期争议复核导出.user_type</x:v>
      </x:c>
      <x:c r="E536" s="8" t="str">
        <x:v>通行与连接</x:v>
      </x:c>
      <x:c r="F536" s="8" t="str">
        <x:v>通行与连接</x:v>
      </x:c>
      <x:c r="G536" s="8" t="n">
        <x:v>0</x:v>
      </x:c>
      <x:c r="H536" s="8" t="n">
        <x:v>0</x:v>
      </x:c>
      <x:c r="I536" s="8" t="n">
        <x:v>0</x:v>
      </x:c>
      <x:c r="J536" s="8" t="n">
        <x:v>19</x:v>
      </x:c>
      <x:c r="K536" s="8" t="str">
        <x:v>["G260"]</x:v>
      </x:c>
      <x:c r="L536" s="8" t="str">
        <x:v>https://github.com/Sparkling-Flames/3D_Manhattan_label/blob/844a4694627e1eacc6bfb48911897335e48ecc17/data/mp3d_layout/valid/img/zsNo4HB9uLZ_b6ca0cc195da4688ba67fa53f0345b98.png</x:v>
      </x:c>
      <x:c r="M536" s="8" t="str">
        <x:v>zsNo4HB9uLZ_b6ca0cc195da4688ba67fa53f0345b98</x:v>
      </x:c>
    </x:row>
    <x:row r="537" ht="44" customHeight="1">
      <x:c r="A537" s="8" t="str">
        <x:v>zsNo4HB9uLZ</x:v>
      </x:c>
      <x:c r="B537" s="8" t="n">
        <x:v>16</x:v>
      </x:c>
      <x:c r="C537" s="8" t="str">
        <x:v>卧室</x:v>
      </x:c>
      <x:c r="D537" s="8" t="str">
        <x:v>早期争议复核导出.user_type</x:v>
      </x:c>
      <x:c r="E537" s="8" t="str">
        <x:v>卧室</x:v>
      </x:c>
      <x:c r="F537" s="8" t="str">
        <x:v>卧室</x:v>
      </x:c>
      <x:c r="G537" s="8" t="n">
        <x:v>2</x:v>
      </x:c>
      <x:c r="H537" s="8" t="n">
        <x:v>2</x:v>
      </x:c>
      <x:c r="I537" s="8" t="n">
        <x:v>0</x:v>
      </x:c>
      <x:c r="J537" s="8" t="n">
        <x:v>17</x:v>
      </x:c>
      <x:c r="K537" s="8" t="str">
        <x:v>["G256"]</x:v>
      </x:c>
      <x:c r="L537" s="8" t="str">
        <x:v>https://github.com/Sparkling-Flames/3D_Manhattan_label/blob/844a4694627e1eacc6bfb48911897335e48ecc17/data/mp3d_layout/valid/img/zsNo4HB9uLZ_faad06c7cb2b4a6f9220e7f6f87c800b.png</x:v>
      </x:c>
      <x:c r="M537" s="8" t="str">
        <x:v>zsNo4HB9uLZ_faad06c7cb2b4a6f9220e7f6f87c800b</x:v>
      </x:c>
    </x:row>
    <x:row r="538" ht="44" customHeight="1">
      <x:c r="A538" s="8" t="str">
        <x:v>x8F5xyUWy9e</x:v>
      </x:c>
      <x:c r="B538" s="8" t="n">
        <x:v>1</x:v>
      </x:c>
      <x:c r="C538" s="8" t="str">
        <x:v>通行与连接</x:v>
      </x:c>
      <x:c r="D538" s="8" t="str">
        <x:v>早期争议复核导出.user_type</x:v>
      </x:c>
      <x:c r="E538" s="8" t="str">
        <x:v>通行与连接</x:v>
      </x:c>
      <x:c r="F538" s="8" t="str">
        <x:v>通行与连接</x:v>
      </x:c>
      <x:c r="G538" s="8" t="n">
        <x:v>5</x:v>
      </x:c>
      <x:c r="H538" s="8" t="n">
        <x:v>4</x:v>
      </x:c>
      <x:c r="I538" s="8" t="n">
        <x:v>0</x:v>
      </x:c>
      <x:c r="J538" s="8" t="n">
        <x:v>15</x:v>
      </x:c>
      <x:c r="K538" s="8" t="str">
        <x:v>["G231", "G232"]</x:v>
      </x:c>
      <x:c r="L538" s="8" t="str">
        <x:v>https://github.com/Sparkling-Flames/3D_Manhattan_label/blob/844a4694627e1eacc6bfb48911897335e48ecc17/data/mp3d_layout/test/img/x8F5xyUWy9e_1be9a97aada84e4795f64583ac0e3b76.png</x:v>
      </x:c>
      <x:c r="M538" s="8" t="str">
        <x:v>x8F5xyUWy9e_1be9a97aada84e4795f64583ac0e3b76</x:v>
      </x:c>
    </x:row>
    <x:row r="539" ht="44" customHeight="1">
      <x:c r="A539" s="8" t="str">
        <x:v>x8F5xyUWy9e</x:v>
      </x:c>
      <x:c r="B539" s="8" t="n">
        <x:v>9</x:v>
      </x:c>
      <x:c r="C539" s="8" t="str">
        <x:v>通行与连接</x:v>
      </x:c>
      <x:c r="D539" s="8" t="str">
        <x:v>早期争议复核导出.user_type</x:v>
      </x:c>
      <x:c r="E539" s="8" t="str">
        <x:v>通行与连接</x:v>
      </x:c>
      <x:c r="F539" s="8" t="str">
        <x:v>通行与连接</x:v>
      </x:c>
      <x:c r="G539" s="8" t="n">
        <x:v>25</x:v>
      </x:c>
      <x:c r="H539" s="8" t="n">
        <x:v>19</x:v>
      </x:c>
      <x:c r="I539" s="8" t="n">
        <x:v>0</x:v>
      </x:c>
      <x:c r="J539" s="8" t="n">
        <x:v>0</x:v>
      </x:c>
      <x:c r="K539" s="8" t="str">
        <x:v>["G231"]</x:v>
      </x:c>
      <x:c r="L539" s="8" t="str">
        <x:v>https://github.com/Sparkling-Flames/3D_Manhattan_label/blob/844a4694627e1eacc6bfb48911897335e48ecc17/data/mp3d_layout/test/img/x8F5xyUWy9e_a51a0e2811f342a599ae4cdb9b84ff23.png</x:v>
      </x:c>
      <x:c r="M539" s="8" t="str">
        <x:v>x8F5xyUWy9e_a51a0e2811f342a599ae4cdb9b84ff23</x:v>
      </x:c>
    </x:row>
    <x:row r="540" ht="44" customHeight="1">
      <x:c r="A540" s="8" t="str">
        <x:v>x8F5xyUWy9e</x:v>
      </x:c>
      <x:c r="B540" s="8" t="n">
        <x:v>10</x:v>
      </x:c>
      <x:c r="C540" s="8" t="str">
        <x:v>通行与连接</x:v>
      </x:c>
      <x:c r="D540" s="8" t="str">
        <x:v>早期争议复核导出.user_type</x:v>
      </x:c>
      <x:c r="E540" s="8" t="str">
        <x:v>通行与连接</x:v>
      </x:c>
      <x:c r="F540" s="8" t="str">
        <x:v>通行与连接</x:v>
      </x:c>
      <x:c r="G540" s="8" t="n">
        <x:v>0</x:v>
      </x:c>
      <x:c r="H540" s="8" t="n">
        <x:v>0</x:v>
      </x:c>
      <x:c r="I540" s="8" t="n">
        <x:v>0</x:v>
      </x:c>
      <x:c r="J540" s="8" t="n">
        <x:v>19</x:v>
      </x:c>
      <x:c r="K540" s="8" t="str">
        <x:v>["G232"]</x:v>
      </x:c>
      <x:c r="L540" s="8" t="str">
        <x:v>https://github.com/Sparkling-Flames/3D_Manhattan_label/blob/844a4694627e1eacc6bfb48911897335e48ecc17/data/mp3d_layout/test/img/x8F5xyUWy9e_b7e0b8b0d65b439382afa4c79db018a7.png</x:v>
      </x:c>
      <x:c r="M540" s="8" t="str">
        <x:v>x8F5xyUWy9e_b7e0b8b0d65b439382afa4c79db018a7</x:v>
      </x:c>
    </x:row>
    <x:row r="541" ht="44" customHeight="1">
      <x:c r="A541" s="8" t="str">
        <x:v>x8F5xyUWy9e</x:v>
      </x:c>
      <x:c r="B541" s="8" t="n">
        <x:v>2</x:v>
      </x:c>
      <x:c r="C541" s="8" t="str">
        <x:v>特殊用途</x:v>
      </x:c>
      <x:c r="D541" s="8" t="str">
        <x:v>早期争议复核导出.user_type</x:v>
      </x:c>
      <x:c r="E541" s="8" t="str">
        <x:v>按摩房</x:v>
      </x:c>
      <x:c r="F541" s="8" t="str">
        <x:v>特殊用途</x:v>
      </x:c>
      <x:c r="G541" s="8" t="n">
        <x:v>0</x:v>
      </x:c>
      <x:c r="H541" s="8" t="n">
        <x:v>0</x:v>
      </x:c>
      <x:c r="I541" s="8" t="n">
        <x:v>0</x:v>
      </x:c>
      <x:c r="J541" s="8" t="n">
        <x:v>19</x:v>
      </x:c>
      <x:c r="K541" s="8" t="str">
        <x:v>["G233", "G234"]</x:v>
      </x:c>
      <x:c r="L541" s="8" t="str">
        <x:v>https://github.com/Sparkling-Flames/3D_Manhattan_label/blob/844a4694627e1eacc6bfb48911897335e48ecc17/data/mp3d_layout/test/img/x8F5xyUWy9e_2669f5ba693c4e729d7d2c4f3fa0a077.png</x:v>
      </x:c>
      <x:c r="M541" s="8" t="str">
        <x:v>x8F5xyUWy9e_2669f5ba693c4e729d7d2c4f3fa0a077</x:v>
      </x:c>
    </x:row>
    <x:row r="542" ht="44" customHeight="1">
      <x:c r="A542" s="8" t="str">
        <x:v>x8F5xyUWy9e</x:v>
      </x:c>
      <x:c r="B542" s="8" t="n">
        <x:v>6</x:v>
      </x:c>
      <x:c r="C542" s="8" t="str">
        <x:v>特殊用途</x:v>
      </x:c>
      <x:c r="D542" s="8" t="str">
        <x:v>早期争议复核导出.user_type</x:v>
      </x:c>
      <x:c r="E542" s="8" t="str">
        <x:v>按摩房</x:v>
      </x:c>
      <x:c r="F542" s="8" t="str">
        <x:v>特殊用途</x:v>
      </x:c>
      <x:c r="G542" s="8" t="n">
        <x:v>0</x:v>
      </x:c>
      <x:c r="H542" s="8" t="n">
        <x:v>0</x:v>
      </x:c>
      <x:c r="I542" s="8" t="n">
        <x:v>0</x:v>
      </x:c>
      <x:c r="J542" s="8" t="n">
        <x:v>19</x:v>
      </x:c>
      <x:c r="K542" s="8" t="str">
        <x:v>["G234"]</x:v>
      </x:c>
      <x:c r="L542" s="8" t="str">
        <x:v>https://github.com/Sparkling-Flames/3D_Manhattan_label/blob/844a4694627e1eacc6bfb48911897335e48ecc17/data/mp3d_layout/test/img/x8F5xyUWy9e_61dabfb7fecf4f328ad300a6f4b96037.png</x:v>
      </x:c>
      <x:c r="M542" s="8" t="str">
        <x:v>x8F5xyUWy9e_61dabfb7fecf4f328ad300a6f4b96037</x:v>
      </x:c>
    </x:row>
    <x:row r="543" ht="44" customHeight="1">
      <x:c r="A543" s="8" t="str">
        <x:v>x8F5xyUWy9e</x:v>
      </x:c>
      <x:c r="B543" s="8" t="n">
        <x:v>7</x:v>
      </x:c>
      <x:c r="C543" s="8" t="str">
        <x:v>特殊用途</x:v>
      </x:c>
      <x:c r="D543" s="8" t="str">
        <x:v>早期争议复核导出.user_type</x:v>
      </x:c>
      <x:c r="E543" s="8" t="str">
        <x:v>按摩房</x:v>
      </x:c>
      <x:c r="F543" s="8" t="str">
        <x:v>特殊用途</x:v>
      </x:c>
      <x:c r="G543" s="8" t="n">
        <x:v>0</x:v>
      </x:c>
      <x:c r="H543" s="8" t="n">
        <x:v>0</x:v>
      </x:c>
      <x:c r="I543" s="8" t="n">
        <x:v>0</x:v>
      </x:c>
      <x:c r="J543" s="8" t="n">
        <x:v>19</x:v>
      </x:c>
      <x:c r="K543" s="8" t="str">
        <x:v>["G234"]</x:v>
      </x:c>
      <x:c r="L543" s="8" t="str">
        <x:v>https://github.com/Sparkling-Flames/3D_Manhattan_label/blob/844a4694627e1eacc6bfb48911897335e48ecc17/data/mp3d_layout/test/img/x8F5xyUWy9e_9077f8ffceb943808934837db41e5616.png</x:v>
      </x:c>
      <x:c r="M543" s="8" t="str">
        <x:v>x8F5xyUWy9e_9077f8ffceb943808934837db41e5616</x:v>
      </x:c>
    </x:row>
    <x:row r="544" ht="44" customHeight="1">
      <x:c r="A544" s="8" t="str">
        <x:v>x8F5xyUWy9e</x:v>
      </x:c>
      <x:c r="B544" s="8" t="n">
        <x:v>8</x:v>
      </x:c>
      <x:c r="C544" s="8" t="str">
        <x:v>特殊用途</x:v>
      </x:c>
      <x:c r="D544" s="8" t="str">
        <x:v>早期争议复核导出.user_type</x:v>
      </x:c>
      <x:c r="E544" s="8" t="str">
        <x:v>按摩房</x:v>
      </x:c>
      <x:c r="F544" s="8" t="str">
        <x:v>特殊用途</x:v>
      </x:c>
      <x:c r="G544" s="8" t="n">
        <x:v>5</x:v>
      </x:c>
      <x:c r="H544" s="8" t="n">
        <x:v>5</x:v>
      </x:c>
      <x:c r="I544" s="8" t="n">
        <x:v>0</x:v>
      </x:c>
      <x:c r="J544" s="8" t="n">
        <x:v>14</x:v>
      </x:c>
      <x:c r="K544" s="8" t="str">
        <x:v>["G234"]</x:v>
      </x:c>
      <x:c r="L544" s="8" t="str">
        <x:v>https://github.com/Sparkling-Flames/3D_Manhattan_label/blob/844a4694627e1eacc6bfb48911897335e48ecc17/data/mp3d_layout/test/img/x8F5xyUWy9e_9926b38bd87e44e292d9c375050dd17d.png</x:v>
      </x:c>
      <x:c r="M544" s="8" t="str">
        <x:v>x8F5xyUWy9e_9926b38bd87e44e292d9c375050dd17d</x:v>
      </x:c>
    </x:row>
    <x:row r="545" ht="44" customHeight="1">
      <x:c r="A545" s="8" t="str">
        <x:v>x8F5xyUWy9e</x:v>
      </x:c>
      <x:c r="B545" s="8" t="n">
        <x:v>3</x:v>
      </x:c>
      <x:c r="C545" s="8" t="str">
        <x:v>特殊用途</x:v>
      </x:c>
      <x:c r="D545" s="8" t="str">
        <x:v>早期争议复核导出.user_type</x:v>
      </x:c>
      <x:c r="E545" s="8" t="str">
        <x:v>按摩房</x:v>
      </x:c>
      <x:c r="F545" s="8" t="str">
        <x:v>特殊用途</x:v>
      </x:c>
      <x:c r="G545" s="8" t="n">
        <x:v>5</x:v>
      </x:c>
      <x:c r="H545" s="8" t="n">
        <x:v>4</x:v>
      </x:c>
      <x:c r="I545" s="8" t="n">
        <x:v>0</x:v>
      </x:c>
      <x:c r="J545" s="8" t="n">
        <x:v>15</x:v>
      </x:c>
      <x:c r="K545" s="8" t="str">
        <x:v>["G233", "G235"]</x:v>
      </x:c>
      <x:c r="L545" s="8" t="str">
        <x:v>https://github.com/Sparkling-Flames/3D_Manhattan_label/blob/844a4694627e1eacc6bfb48911897335e48ecc17/data/mp3d_layout/test/img/x8F5xyUWy9e_3a127fd2c5f34d978cba253145dae7d6.png</x:v>
      </x:c>
      <x:c r="M545" s="8" t="str">
        <x:v>x8F5xyUWy9e_3a127fd2c5f34d978cba253145dae7d6</x:v>
      </x:c>
    </x:row>
    <x:row r="546" ht="44" customHeight="1">
      <x:c r="A546" s="8" t="str">
        <x:v>x8F5xyUWy9e</x:v>
      </x:c>
      <x:c r="B546" s="8" t="n">
        <x:v>4</x:v>
      </x:c>
      <x:c r="C546" s="8" t="str">
        <x:v>特殊用途</x:v>
      </x:c>
      <x:c r="D546" s="8" t="str">
        <x:v>早期争议复核导出.user_type</x:v>
      </x:c>
      <x:c r="E546" s="8" t="str">
        <x:v>按摩房</x:v>
      </x:c>
      <x:c r="F546" s="8" t="str">
        <x:v>特殊用途</x:v>
      </x:c>
      <x:c r="G546" s="8" t="n">
        <x:v>0</x:v>
      </x:c>
      <x:c r="H546" s="8" t="n">
        <x:v>0</x:v>
      </x:c>
      <x:c r="I546" s="8" t="n">
        <x:v>0</x:v>
      </x:c>
      <x:c r="J546" s="8" t="n">
        <x:v>19</x:v>
      </x:c>
      <x:c r="K546" s="8" t="str">
        <x:v>["G235"]</x:v>
      </x:c>
      <x:c r="L546" s="8" t="str">
        <x:v>https://github.com/Sparkling-Flames/3D_Manhattan_label/blob/844a4694627e1eacc6bfb48911897335e48ecc17/data/mp3d_layout/test/img/x8F5xyUWy9e_46b120dde4004bf9ada90cf967c0585b.png</x:v>
      </x:c>
      <x:c r="M546" s="8" t="str">
        <x:v>x8F5xyUWy9e_46b120dde4004bf9ada90cf967c0585b</x:v>
      </x:c>
    </x:row>
    <x:row r="547" ht="44" customHeight="1">
      <x:c r="A547" s="8" t="str">
        <x:v>x8F5xyUWy9e</x:v>
      </x:c>
      <x:c r="B547" s="8" t="n">
        <x:v>5</x:v>
      </x:c>
      <x:c r="C547" s="8" t="str">
        <x:v>特殊用途</x:v>
      </x:c>
      <x:c r="D547" s="8" t="str">
        <x:v>早期争议复核导出.user_type</x:v>
      </x:c>
      <x:c r="E547" s="8" t="str">
        <x:v>按摩房</x:v>
      </x:c>
      <x:c r="F547" s="8" t="str">
        <x:v>特殊用途</x:v>
      </x:c>
      <x:c r="G547" s="8" t="n">
        <x:v>0</x:v>
      </x:c>
      <x:c r="H547" s="8" t="n">
        <x:v>0</x:v>
      </x:c>
      <x:c r="I547" s="8" t="n">
        <x:v>0</x:v>
      </x:c>
      <x:c r="J547" s="8" t="n">
        <x:v>19</x:v>
      </x:c>
      <x:c r="K547" s="8" t="str">
        <x:v>["G235"]</x:v>
      </x:c>
      <x:c r="L547" s="8" t="str">
        <x:v>https://github.com/Sparkling-Flames/3D_Manhattan_label/blob/844a4694627e1eacc6bfb48911897335e48ecc17/data/mp3d_layout/test/img/x8F5xyUWy9e_59d9c66f57b14062a49e17e8f1da2151.png</x:v>
      </x:c>
      <x:c r="M547" s="8" t="str">
        <x:v>x8F5xyUWy9e_59d9c66f57b14062a49e17e8f1da2151</x:v>
      </x:c>
    </x:row>
    <x:row r="548" ht="44" customHeight="1">
      <x:c r="A548" s="8" t="str">
        <x:v>x8F5xyUWy9e</x:v>
      </x:c>
      <x:c r="B548" s="8" t="n">
        <x:v>11</x:v>
      </x:c>
      <x:c r="C548" s="8" t="str">
        <x:v>特殊用途</x:v>
      </x:c>
      <x:c r="D548" s="8" t="str">
        <x:v>早期争议复核导出.user_type</x:v>
      </x:c>
      <x:c r="E548" s="8" t="str">
        <x:v>按摩房</x:v>
      </x:c>
      <x:c r="F548" s="8" t="str">
        <x:v>特殊用途</x:v>
      </x:c>
      <x:c r="G548" s="8" t="n">
        <x:v>0</x:v>
      </x:c>
      <x:c r="H548" s="8" t="n">
        <x:v>0</x:v>
      </x:c>
      <x:c r="I548" s="8" t="n">
        <x:v>0</x:v>
      </x:c>
      <x:c r="J548" s="8" t="n">
        <x:v>19</x:v>
      </x:c>
      <x:c r="K548" s="8" t="str">
        <x:v>["G235"]</x:v>
      </x:c>
      <x:c r="L548" s="8" t="str">
        <x:v>https://github.com/Sparkling-Flames/3D_Manhattan_label/blob/844a4694627e1eacc6bfb48911897335e48ecc17/data/mp3d_layout/test/img/x8F5xyUWy9e_c66bbecc057b41a8bb2eaa76c6f072a2.png</x:v>
      </x:c>
      <x:c r="M548" s="8" t="str">
        <x:v>x8F5xyUWy9e_c66bbecc057b41a8bb2eaa76c6f072a2</x:v>
      </x:c>
    </x:row>
    <x:row r="549" ht="44" customHeight="1">
      <x:c r="A549" s="8" t="str">
        <x:v>yqstnuAEVhm</x:v>
      </x:c>
      <x:c r="B549" s="8" t="n">
        <x:v>1</x:v>
      </x:c>
      <x:c r="C549" s="8" t="str">
        <x:v>卧室</x:v>
      </x:c>
      <x:c r="D549" s="8" t="str">
        <x:v>早期争议复核导出.user_type</x:v>
      </x:c>
      <x:c r="E549" s="8" t="str">
        <x:v>卧室</x:v>
      </x:c>
      <x:c r="F549" s="8" t="str">
        <x:v>卧室</x:v>
      </x:c>
      <x:c r="G549" s="8" t="n">
        <x:v>5</x:v>
      </x:c>
      <x:c r="H549" s="8" t="n">
        <x:v>5</x:v>
      </x:c>
      <x:c r="I549" s="8" t="n">
        <x:v>5</x:v>
      </x:c>
      <x:c r="J549" s="8" t="n">
        <x:v>11</x:v>
      </x:c>
      <x:c r="K549" s="8" t="str">
        <x:v>["G236"]</x:v>
      </x:c>
      <x:c r="L549" s="8" t="str">
        <x:v>https://github.com/Sparkling-Flames/3D_Manhattan_label/blob/844a4694627e1eacc6bfb48911897335e48ecc17/data/mp3d_layout/test/img/yqstnuAEVhm_08e2145b15fc4d2497c084af41dc7089.png</x:v>
      </x:c>
      <x:c r="M549" s="8" t="str">
        <x:v>yqstnuAEVhm_08e2145b15fc4d2497c084af41dc7089</x:v>
      </x:c>
    </x:row>
    <x:row r="550" ht="44" customHeight="1">
      <x:c r="A550" s="8" t="str">
        <x:v>yqstnuAEVhm</x:v>
      </x:c>
      <x:c r="B550" s="8" t="n">
        <x:v>6</x:v>
      </x:c>
      <x:c r="C550" s="8" t="str">
        <x:v>卧室</x:v>
      </x:c>
      <x:c r="D550" s="8" t="str">
        <x:v>早期争议复核导出.user_type</x:v>
      </x:c>
      <x:c r="E550" s="8" t="str">
        <x:v>卧室</x:v>
      </x:c>
      <x:c r="F550" s="8" t="str">
        <x:v>卧室</x:v>
      </x:c>
      <x:c r="G550" s="8" t="n">
        <x:v>6</x:v>
      </x:c>
      <x:c r="H550" s="8" t="n">
        <x:v>4</x:v>
      </x:c>
      <x:c r="I550" s="8" t="n">
        <x:v>0</x:v>
      </x:c>
      <x:c r="J550" s="8" t="n">
        <x:v>15</x:v>
      </x:c>
      <x:c r="K550" s="8" t="str">
        <x:v>["G236"]</x:v>
      </x:c>
      <x:c r="L550" s="8" t="str">
        <x:v>https://github.com/Sparkling-Flames/3D_Manhattan_label/blob/844a4694627e1eacc6bfb48911897335e48ecc17/data/mp3d_layout/test/img/yqstnuAEVhm_2f8c1f8ea7364f67b1c5fe2be2750257.png</x:v>
      </x:c>
      <x:c r="M550" s="8" t="str">
        <x:v>yqstnuAEVhm_2f8c1f8ea7364f67b1c5fe2be2750257</x:v>
      </x:c>
    </x:row>
    <x:row r="551" ht="44" customHeight="1">
      <x:c r="A551" s="8" t="str">
        <x:v>yqstnuAEVhm</x:v>
      </x:c>
      <x:c r="B551" s="8" t="n">
        <x:v>18</x:v>
      </x:c>
      <x:c r="C551" s="8" t="str">
        <x:v>卧室</x:v>
      </x:c>
      <x:c r="D551" s="8" t="str">
        <x:v>早期争议复核导出.user_type</x:v>
      </x:c>
      <x:c r="E551" s="8" t="str">
        <x:v>卧室</x:v>
      </x:c>
      <x:c r="F551" s="8" t="str">
        <x:v>卧室</x:v>
      </x:c>
      <x:c r="G551" s="8" t="n">
        <x:v>0</x:v>
      </x:c>
      <x:c r="H551" s="8" t="n">
        <x:v>0</x:v>
      </x:c>
      <x:c r="I551" s="8" t="n">
        <x:v>0</x:v>
      </x:c>
      <x:c r="J551" s="8" t="n">
        <x:v>19</x:v>
      </x:c>
      <x:c r="K551" s="8" t="str">
        <x:v>["G236"]</x:v>
      </x:c>
      <x:c r="L551" s="8" t="str">
        <x:v>https://github.com/Sparkling-Flames/3D_Manhattan_label/blob/844a4694627e1eacc6bfb48911897335e48ecc17/data/mp3d_layout/test/img/yqstnuAEVhm_700c8b94ab594ac1910e650da9f93c18.png</x:v>
      </x:c>
      <x:c r="M551" s="8" t="str">
        <x:v>yqstnuAEVhm_700c8b94ab594ac1910e650da9f93c18</x:v>
      </x:c>
    </x:row>
    <x:row r="552" ht="44" customHeight="1">
      <x:c r="A552" s="8" t="str">
        <x:v>yqstnuAEVhm</x:v>
      </x:c>
      <x:c r="B552" s="8" t="n">
        <x:v>2</x:v>
      </x:c>
      <x:c r="C552" s="8" t="str">
        <x:v>厨房与用餐</x:v>
      </x:c>
      <x:c r="D552" s="8" t="str">
        <x:v>早期争议复核导出.user_type</x:v>
      </x:c>
      <x:c r="E552" s="8" t="str">
        <x:v>厨房与用餐</x:v>
      </x:c>
      <x:c r="F552" s="8" t="str">
        <x:v>厨房与用餐</x:v>
      </x:c>
      <x:c r="G552" s="8" t="n">
        <x:v>0</x:v>
      </x:c>
      <x:c r="H552" s="8" t="n">
        <x:v>0</x:v>
      </x:c>
      <x:c r="I552" s="8" t="n">
        <x:v>0</x:v>
      </x:c>
      <x:c r="J552" s="8" t="n">
        <x:v>19</x:v>
      </x:c>
      <x:c r="K552" s="8" t="str">
        <x:v>["G237", "G238"]</x:v>
      </x:c>
      <x:c r="L552" s="8" t="str">
        <x:v>https://github.com/Sparkling-Flames/3D_Manhattan_label/blob/844a4694627e1eacc6bfb48911897335e48ecc17/data/mp3d_layout/test/img/yqstnuAEVhm_19e4188fa39244378481dcdb18c42dbe.png</x:v>
      </x:c>
      <x:c r="M552" s="8" t="str">
        <x:v>yqstnuAEVhm_19e4188fa39244378481dcdb18c42dbe</x:v>
      </x:c>
    </x:row>
    <x:row r="553" ht="44" customHeight="1">
      <x:c r="A553" s="8" t="str">
        <x:v>yqstnuAEVhm</x:v>
      </x:c>
      <x:c r="B553" s="8" t="n">
        <x:v>3</x:v>
      </x:c>
      <x:c r="C553" s="8" t="str">
        <x:v>厨房与用餐</x:v>
      </x:c>
      <x:c r="D553" s="8" t="str">
        <x:v>早期争议复核导出.user_type</x:v>
      </x:c>
      <x:c r="E553" s="8" t="str">
        <x:v>厨房与用餐</x:v>
      </x:c>
      <x:c r="F553" s="8" t="str">
        <x:v>通行与连接</x:v>
      </x:c>
      <x:c r="G553" s="8" t="n">
        <x:v>0</x:v>
      </x:c>
      <x:c r="H553" s="8" t="n">
        <x:v>0</x:v>
      </x:c>
      <x:c r="I553" s="8" t="n">
        <x:v>0</x:v>
      </x:c>
      <x:c r="J553" s="8" t="n">
        <x:v>19</x:v>
      </x:c>
      <x:c r="K553" s="8" t="str">
        <x:v>["G239"]</x:v>
      </x:c>
      <x:c r="L553" s="8" t="str">
        <x:v>https://github.com/Sparkling-Flames/3D_Manhattan_label/blob/844a4694627e1eacc6bfb48911897335e48ecc17/data/mp3d_layout/test/img/yqstnuAEVhm_1d96a0a27c5a48aa9bd276dc7fe34d9b.png</x:v>
      </x:c>
      <x:c r="M553" s="8" t="str">
        <x:v>yqstnuAEVhm_1d96a0a27c5a48aa9bd276dc7fe34d9b</x:v>
      </x:c>
    </x:row>
    <x:row r="554" ht="44" customHeight="1">
      <x:c r="A554" s="8" t="str">
        <x:v>yqstnuAEVhm</x:v>
      </x:c>
      <x:c r="B554" s="8" t="n">
        <x:v>5</x:v>
      </x:c>
      <x:c r="C554" s="8" t="str">
        <x:v>厨房与用餐</x:v>
      </x:c>
      <x:c r="D554" s="8" t="str">
        <x:v>早期争议复核导出.user_type</x:v>
      </x:c>
      <x:c r="E554" s="8" t="str">
        <x:v>厨房与用餐</x:v>
      </x:c>
      <x:c r="F554" s="8" t="str">
        <x:v>厨房与用餐</x:v>
      </x:c>
      <x:c r="G554" s="8" t="n">
        <x:v>0</x:v>
      </x:c>
      <x:c r="H554" s="8" t="n">
        <x:v>0</x:v>
      </x:c>
      <x:c r="I554" s="8" t="n">
        <x:v>0</x:v>
      </x:c>
      <x:c r="J554" s="8" t="n">
        <x:v>19</x:v>
      </x:c>
      <x:c r="K554" s="8" t="str">
        <x:v>["G237", "G239"]</x:v>
      </x:c>
      <x:c r="L554" s="8" t="str">
        <x:v>https://github.com/Sparkling-Flames/3D_Manhattan_label/blob/844a4694627e1eacc6bfb48911897335e48ecc17/data/mp3d_layout/test/img/yqstnuAEVhm_2b3fb4746d414cc6a31729b222ed79b2.png</x:v>
      </x:c>
      <x:c r="M554" s="8" t="str">
        <x:v>yqstnuAEVhm_2b3fb4746d414cc6a31729b222ed79b2</x:v>
      </x:c>
    </x:row>
    <x:row r="555" ht="44" customHeight="1">
      <x:c r="A555" s="8" t="str">
        <x:v>yqstnuAEVhm</x:v>
      </x:c>
      <x:c r="B555" s="8" t="n">
        <x:v>10</x:v>
      </x:c>
      <x:c r="C555" s="8" t="str">
        <x:v>厨房与用餐</x:v>
      </x:c>
      <x:c r="D555" s="8" t="str">
        <x:v>早期争议复核导出.user_type</x:v>
      </x:c>
      <x:c r="E555" s="8" t="str">
        <x:v>厨房与用餐</x:v>
      </x:c>
      <x:c r="F555" s="8" t="str">
        <x:v>厨房与用餐</x:v>
      </x:c>
      <x:c r="G555" s="8" t="n">
        <x:v>0</x:v>
      </x:c>
      <x:c r="H555" s="8" t="n">
        <x:v>0</x:v>
      </x:c>
      <x:c r="I555" s="8" t="n">
        <x:v>0</x:v>
      </x:c>
      <x:c r="J555" s="8" t="n">
        <x:v>19</x:v>
      </x:c>
      <x:c r="K555" s="8" t="str">
        <x:v>["G237"]</x:v>
      </x:c>
      <x:c r="L555" s="8" t="str">
        <x:v>https://github.com/Sparkling-Flames/3D_Manhattan_label/blob/844a4694627e1eacc6bfb48911897335e48ecc17/data/mp3d_layout/test/img/yqstnuAEVhm_4ab11dce32f346b2becac29e0ac6e526.png</x:v>
      </x:c>
      <x:c r="M555" s="8" t="str">
        <x:v>yqstnuAEVhm_4ab11dce32f346b2becac29e0ac6e526</x:v>
      </x:c>
    </x:row>
    <x:row r="556" ht="44" customHeight="1">
      <x:c r="A556" s="8" t="str">
        <x:v>yqstnuAEVhm</x:v>
      </x:c>
      <x:c r="B556" s="8" t="n">
        <x:v>26</x:v>
      </x:c>
      <x:c r="C556" s="8" t="str">
        <x:v>厨房与用餐</x:v>
      </x:c>
      <x:c r="D556" s="8" t="str">
        <x:v>早期争议复核导出.user_type</x:v>
      </x:c>
      <x:c r="E556" s="8" t="str">
        <x:v>厨房与用餐</x:v>
      </x:c>
      <x:c r="F556" s="8" t="str">
        <x:v>厨房与用餐</x:v>
      </x:c>
      <x:c r="G556" s="8" t="n">
        <x:v>25</x:v>
      </x:c>
      <x:c r="H556" s="8" t="n">
        <x:v>19</x:v>
      </x:c>
      <x:c r="I556" s="8" t="n">
        <x:v>0</x:v>
      </x:c>
      <x:c r="J556" s="8" t="n">
        <x:v>0</x:v>
      </x:c>
      <x:c r="K556" s="8" t="str">
        <x:v>["G237"]</x:v>
      </x:c>
      <x:c r="L556" s="8" t="str">
        <x:v>https://github.com/Sparkling-Flames/3D_Manhattan_label/blob/844a4694627e1eacc6bfb48911897335e48ecc17/data/mp3d_layout/test/img/yqstnuAEVhm_a93ea1ea5702412c9ef9c82a436c4599.png</x:v>
      </x:c>
      <x:c r="M556" s="8" t="str">
        <x:v>yqstnuAEVhm_a93ea1ea5702412c9ef9c82a436c4599</x:v>
      </x:c>
    </x:row>
    <x:row r="557" ht="44" customHeight="1">
      <x:c r="A557" s="8" t="str">
        <x:v>yqstnuAEVhm</x:v>
      </x:c>
      <x:c r="B557" s="8" t="n">
        <x:v>4</x:v>
      </x:c>
      <x:c r="C557" s="8" t="str">
        <x:v>通行与连接</x:v>
      </x:c>
      <x:c r="D557" s="8" t="str">
        <x:v>早期争议复核导出.user_type</x:v>
      </x:c>
      <x:c r="E557" s="8" t="str">
        <x:v>通行与连接</x:v>
      </x:c>
      <x:c r="F557" s="8" t="str">
        <x:v>通行与连接</x:v>
      </x:c>
      <x:c r="G557" s="8" t="n">
        <x:v>23</x:v>
      </x:c>
      <x:c r="H557" s="8" t="n">
        <x:v>19</x:v>
      </x:c>
      <x:c r="I557" s="8" t="n">
        <x:v>0</x:v>
      </x:c>
      <x:c r="J557" s="8" t="n">
        <x:v>0</x:v>
      </x:c>
      <x:c r="K557" s="8" t="str">
        <x:v>["G240", "G241"]</x:v>
      </x:c>
      <x:c r="L557" s="8" t="str">
        <x:v>https://github.com/Sparkling-Flames/3D_Manhattan_label/blob/844a4694627e1eacc6bfb48911897335e48ecc17/data/mp3d_layout/test/img/yqstnuAEVhm_26b2e92ccd314a2da1a4fc8dfc6e6f56.png</x:v>
      </x:c>
      <x:c r="M557" s="8" t="str">
        <x:v>yqstnuAEVhm_26b2e92ccd314a2da1a4fc8dfc6e6f56</x:v>
      </x:c>
    </x:row>
    <x:row r="558" ht="44" customHeight="1">
      <x:c r="A558" s="8" t="str">
        <x:v>yqstnuAEVhm</x:v>
      </x:c>
      <x:c r="B558" s="8" t="n">
        <x:v>7</x:v>
      </x:c>
      <x:c r="C558" s="8" t="str">
        <x:v>起居与休闲</x:v>
      </x:c>
      <x:c r="D558" s="8" t="str">
        <x:v>早期争议复核导出.user_type</x:v>
      </x:c>
      <x:c r="E558" s="8" t="str">
        <x:v>起居与休闲</x:v>
      </x:c>
      <x:c r="F558" s="8" t="str">
        <x:v>工作与学习</x:v>
      </x:c>
      <x:c r="G558" s="8" t="n">
        <x:v>6</x:v>
      </x:c>
      <x:c r="H558" s="8" t="n">
        <x:v>4</x:v>
      </x:c>
      <x:c r="I558" s="8" t="n">
        <x:v>0</x:v>
      </x:c>
      <x:c r="J558" s="8" t="n">
        <x:v>15</x:v>
      </x:c>
      <x:c r="K558" s="8" t="str">
        <x:v>["G242", "G243"]</x:v>
      </x:c>
      <x:c r="L558" s="8" t="str">
        <x:v>https://github.com/Sparkling-Flames/3D_Manhattan_label/blob/844a4694627e1eacc6bfb48911897335e48ecc17/data/mp3d_layout/test/img/yqstnuAEVhm_30f3ce4575234a7ba5ff97797f059ae1.png</x:v>
      </x:c>
      <x:c r="M558" s="8" t="str">
        <x:v>yqstnuAEVhm_30f3ce4575234a7ba5ff97797f059ae1</x:v>
      </x:c>
    </x:row>
    <x:row r="559" ht="44" customHeight="1">
      <x:c r="A559" s="8" t="str">
        <x:v>yqstnuAEVhm</x:v>
      </x:c>
      <x:c r="B559" s="8" t="n">
        <x:v>20</x:v>
      </x:c>
      <x:c r="C559" s="8" t="str">
        <x:v>起居与休闲</x:v>
      </x:c>
      <x:c r="D559" s="8" t="str">
        <x:v>早期争议复核导出.user_type</x:v>
      </x:c>
      <x:c r="E559" s="8" t="str">
        <x:v>起居与休闲</x:v>
      </x:c>
      <x:c r="F559" s="8" t="str">
        <x:v>工作与学习</x:v>
      </x:c>
      <x:c r="G559" s="8" t="n">
        <x:v>0</x:v>
      </x:c>
      <x:c r="H559" s="8" t="n">
        <x:v>0</x:v>
      </x:c>
      <x:c r="I559" s="8" t="n">
        <x:v>0</x:v>
      </x:c>
      <x:c r="J559" s="8" t="n">
        <x:v>19</x:v>
      </x:c>
      <x:c r="K559" s="8" t="str">
        <x:v>["G243"]</x:v>
      </x:c>
      <x:c r="L559" s="8" t="str">
        <x:v>https://github.com/Sparkling-Flames/3D_Manhattan_label/blob/844a4694627e1eacc6bfb48911897335e48ecc17/data/mp3d_layout/test/img/yqstnuAEVhm_7acd3d3a7bee44a8ad04d460509b994e.png</x:v>
      </x:c>
      <x:c r="M559" s="8" t="str">
        <x:v>yqstnuAEVhm_7acd3d3a7bee44a8ad04d460509b994e</x:v>
      </x:c>
    </x:row>
    <x:row r="560" ht="44" customHeight="1">
      <x:c r="A560" s="8" t="str">
        <x:v>yqstnuAEVhm</x:v>
      </x:c>
      <x:c r="B560" s="8" t="n">
        <x:v>8</x:v>
      </x:c>
      <x:c r="C560" s="8" t="str">
        <x:v>厨房与用餐</x:v>
      </x:c>
      <x:c r="D560" s="8" t="str">
        <x:v>早期争议复核导出.user_type</x:v>
      </x:c>
      <x:c r="E560" s="8" t="str">
        <x:v>厨房与用餐</x:v>
      </x:c>
      <x:c r="F560" s="8" t="str">
        <x:v>开放复合空间</x:v>
      </x:c>
      <x:c r="G560" s="8" t="n">
        <x:v>5</x:v>
      </x:c>
      <x:c r="H560" s="8" t="n">
        <x:v>5</x:v>
      </x:c>
      <x:c r="I560" s="8" t="n">
        <x:v>0</x:v>
      </x:c>
      <x:c r="J560" s="8" t="n">
        <x:v>14</x:v>
      </x:c>
      <x:c r="K560" s="8" t="str">
        <x:v>["G238", "G244"]</x:v>
      </x:c>
      <x:c r="L560" s="8" t="str">
        <x:v>https://github.com/Sparkling-Flames/3D_Manhattan_label/blob/844a4694627e1eacc6bfb48911897335e48ecc17/data/mp3d_layout/test/img/yqstnuAEVhm_4642492bb42d40debb1a3bad0ea7a24f.png</x:v>
      </x:c>
      <x:c r="M560" s="8" t="str">
        <x:v>yqstnuAEVhm_4642492bb42d40debb1a3bad0ea7a24f</x:v>
      </x:c>
    </x:row>
    <x:row r="561" ht="44" customHeight="1">
      <x:c r="A561" s="8" t="str">
        <x:v>yqstnuAEVhm</x:v>
      </x:c>
      <x:c r="B561" s="8" t="n">
        <x:v>22</x:v>
      </x:c>
      <x:c r="C561" s="8" t="str">
        <x:v>厨房与用餐</x:v>
      </x:c>
      <x:c r="D561" s="8" t="str">
        <x:v>早期争议复核导出.user_type</x:v>
      </x:c>
      <x:c r="E561" s="8" t="str">
        <x:v>厨房与用餐</x:v>
      </x:c>
      <x:c r="F561" s="8" t="str">
        <x:v>开放复合空间</x:v>
      </x:c>
      <x:c r="G561" s="8" t="n">
        <x:v>0</x:v>
      </x:c>
      <x:c r="H561" s="8" t="n">
        <x:v>0</x:v>
      </x:c>
      <x:c r="I561" s="8" t="n">
        <x:v>0</x:v>
      </x:c>
      <x:c r="J561" s="8" t="n">
        <x:v>19</x:v>
      </x:c>
      <x:c r="K561" s="8" t="str">
        <x:v>["G244"]</x:v>
      </x:c>
      <x:c r="L561" s="8" t="str">
        <x:v>https://github.com/Sparkling-Flames/3D_Manhattan_label/blob/844a4694627e1eacc6bfb48911897335e48ecc17/data/mp3d_layout/test/img/yqstnuAEVhm_882f2a028ad249d49fdaabc1ddae789d.png</x:v>
      </x:c>
      <x:c r="M561" s="8" t="str">
        <x:v>yqstnuAEVhm_882f2a028ad249d49fdaabc1ddae789d</x:v>
      </x:c>
    </x:row>
    <x:row r="562" ht="44" customHeight="1">
      <x:c r="A562" s="8" t="str">
        <x:v>yqstnuAEVhm</x:v>
      </x:c>
      <x:c r="B562" s="8" t="n">
        <x:v>9</x:v>
      </x:c>
      <x:c r="C562" s="8" t="str">
        <x:v>起居与休闲</x:v>
      </x:c>
      <x:c r="D562" s="8" t="str">
        <x:v>早期争议复核导出.user_type</x:v>
      </x:c>
      <x:c r="E562" s="8" t="str">
        <x:v>客厅</x:v>
      </x:c>
      <x:c r="F562" s="8" t="str">
        <x:v>卧室</x:v>
      </x:c>
      <x:c r="G562" s="8" t="n">
        <x:v>6</x:v>
      </x:c>
      <x:c r="H562" s="8" t="n">
        <x:v>3</x:v>
      </x:c>
      <x:c r="I562" s="8" t="n">
        <x:v>0</x:v>
      </x:c>
      <x:c r="J562" s="8" t="n">
        <x:v>16</x:v>
      </x:c>
      <x:c r="K562" s="8" t="str">
        <x:v>["G245"]</x:v>
      </x:c>
      <x:c r="L562" s="8" t="str">
        <x:v>https://github.com/Sparkling-Flames/3D_Manhattan_label/blob/844a4694627e1eacc6bfb48911897335e48ecc17/data/mp3d_layout/test/img/yqstnuAEVhm_48447297e8444171a5db34ccf38bc229.png</x:v>
      </x:c>
      <x:c r="M562" s="8" t="str">
        <x:v>yqstnuAEVhm_48447297e8444171a5db34ccf38bc229</x:v>
      </x:c>
    </x:row>
    <x:row r="563" ht="44" customHeight="1">
      <x:c r="A563" s="8" t="str">
        <x:v>yqstnuAEVhm</x:v>
      </x:c>
      <x:c r="B563" s="8" t="n">
        <x:v>11</x:v>
      </x:c>
      <x:c r="C563" s="8" t="str">
        <x:v>通行与连接</x:v>
      </x:c>
      <x:c r="D563" s="8" t="str">
        <x:v>早期争议复核导出.user_type</x:v>
      </x:c>
      <x:c r="E563" s="8" t="str">
        <x:v>通行与连接</x:v>
      </x:c>
      <x:c r="F563" s="8" t="str">
        <x:v>通行与连接</x:v>
      </x:c>
      <x:c r="G563" s="8" t="n">
        <x:v>0</x:v>
      </x:c>
      <x:c r="H563" s="8" t="n">
        <x:v>0</x:v>
      </x:c>
      <x:c r="I563" s="8" t="n">
        <x:v>0</x:v>
      </x:c>
      <x:c r="J563" s="8" t="n">
        <x:v>19</x:v>
      </x:c>
      <x:c r="K563" s="8" t="str">
        <x:v>["G240", "G246", "G247", "G248"]</x:v>
      </x:c>
      <x:c r="L563" s="8" t="str">
        <x:v>https://github.com/Sparkling-Flames/3D_Manhattan_label/blob/844a4694627e1eacc6bfb48911897335e48ecc17/data/mp3d_layout/test/img/yqstnuAEVhm_559e923d612748dd8dce2557c3b4b675.png</x:v>
      </x:c>
      <x:c r="M563" s="8" t="str">
        <x:v>yqstnuAEVhm_559e923d612748dd8dce2557c3b4b675</x:v>
      </x:c>
    </x:row>
    <x:row r="564" ht="44" customHeight="1">
      <x:c r="A564" s="8" t="str">
        <x:v>yqstnuAEVhm</x:v>
      </x:c>
      <x:c r="B564" s="8" t="n">
        <x:v>12</x:v>
      </x:c>
      <x:c r="C564" s="8" t="str">
        <x:v>卫浴</x:v>
      </x:c>
      <x:c r="D564" s="8" t="str">
        <x:v>早期争议复核导出.user_type</x:v>
      </x:c>
      <x:c r="E564" s="8" t="str">
        <x:v>卫浴</x:v>
      </x:c>
      <x:c r="F564" s="8" t="str">
        <x:v>卫浴</x:v>
      </x:c>
      <x:c r="G564" s="8" t="n">
        <x:v>0</x:v>
      </x:c>
      <x:c r="H564" s="8" t="n">
        <x:v>0</x:v>
      </x:c>
      <x:c r="I564" s="8" t="n">
        <x:v>0</x:v>
      </x:c>
      <x:c r="J564" s="8" t="n">
        <x:v>19</x:v>
      </x:c>
      <x:c r="K564" s="8" t="str">
        <x:v>["G249"]</x:v>
      </x:c>
      <x:c r="L564" s="8" t="str">
        <x:v>https://github.com/Sparkling-Flames/3D_Manhattan_label/blob/844a4694627e1eacc6bfb48911897335e48ecc17/data/mp3d_layout/test/img/yqstnuAEVhm_6440d94be92546fdab587df78fbea28b.png</x:v>
      </x:c>
      <x:c r="M564" s="8" t="str">
        <x:v>yqstnuAEVhm_6440d94be92546fdab587df78fbea28b</x:v>
      </x:c>
    </x:row>
    <x:row r="565" ht="44" customHeight="1">
      <x:c r="A565" s="8" t="str">
        <x:v>yqstnuAEVhm</x:v>
      </x:c>
      <x:c r="B565" s="8" t="n">
        <x:v>13</x:v>
      </x:c>
      <x:c r="C565" s="8" t="str">
        <x:v>卫浴</x:v>
      </x:c>
      <x:c r="D565" s="8" t="str">
        <x:v>早期争议复核导出.user_type</x:v>
      </x:c>
      <x:c r="E565" s="8" t="str">
        <x:v>卫浴</x:v>
      </x:c>
      <x:c r="F565" s="8" t="str">
        <x:v>卫浴</x:v>
      </x:c>
      <x:c r="G565" s="8" t="n">
        <x:v>0</x:v>
      </x:c>
      <x:c r="H565" s="8" t="n">
        <x:v>0</x:v>
      </x:c>
      <x:c r="I565" s="8" t="n">
        <x:v>0</x:v>
      </x:c>
      <x:c r="J565" s="8" t="n">
        <x:v>19</x:v>
      </x:c>
      <x:c r="K565" s="8" t="str">
        <x:v>["G250"]</x:v>
      </x:c>
      <x:c r="L565" s="8" t="str">
        <x:v>https://github.com/Sparkling-Flames/3D_Manhattan_label/blob/844a4694627e1eacc6bfb48911897335e48ecc17/data/mp3d_layout/test/img/yqstnuAEVhm_64ea2c01d6184c35a9575a3e585a9b75.png</x:v>
      </x:c>
      <x:c r="M565" s="8" t="str">
        <x:v>yqstnuAEVhm_64ea2c01d6184c35a9575a3e585a9b75</x:v>
      </x:c>
    </x:row>
    <x:row r="566" ht="44" customHeight="1">
      <x:c r="A566" s="8" t="str">
        <x:v>yqstnuAEVhm</x:v>
      </x:c>
      <x:c r="B566" s="8" t="n">
        <x:v>14</x:v>
      </x:c>
      <x:c r="C566" s="8" t="str">
        <x:v>卧室</x:v>
      </x:c>
      <x:c r="D566" s="8" t="str">
        <x:v>早期争议复核导出.user_type</x:v>
      </x:c>
      <x:c r="E566" s="8" t="str">
        <x:v>卧室</x:v>
      </x:c>
      <x:c r="F566" s="8" t="str">
        <x:v>卧室</x:v>
      </x:c>
      <x:c r="G566" s="8" t="n">
        <x:v>0</x:v>
      </x:c>
      <x:c r="H566" s="8" t="n">
        <x:v>0</x:v>
      </x:c>
      <x:c r="I566" s="8" t="n">
        <x:v>0</x:v>
      </x:c>
      <x:c r="J566" s="8" t="n">
        <x:v>19</x:v>
      </x:c>
      <x:c r="K566" s="8" t="str">
        <x:v>["G236"]</x:v>
      </x:c>
      <x:c r="L566" s="8" t="str">
        <x:v>https://github.com/Sparkling-Flames/3D_Manhattan_label/blob/844a4694627e1eacc6bfb48911897335e48ecc17/data/mp3d_layout/test/img/yqstnuAEVhm_6589ad7a5a0444b59adbf501c0f0fe53.png</x:v>
      </x:c>
      <x:c r="M566" s="8" t="str">
        <x:v>yqstnuAEVhm_6589ad7a5a0444b59adbf501c0f0fe53</x:v>
      </x:c>
    </x:row>
    <x:row r="567" ht="44" customHeight="1">
      <x:c r="A567" s="8" t="str">
        <x:v>yqstnuAEVhm</x:v>
      </x:c>
      <x:c r="B567" s="8" t="n">
        <x:v>15</x:v>
      </x:c>
      <x:c r="C567" s="8" t="str">
        <x:v>通行与连接</x:v>
      </x:c>
      <x:c r="D567" s="8" t="str">
        <x:v>早期争议复核导出.user_type</x:v>
      </x:c>
      <x:c r="E567" s="8" t="str">
        <x:v>通行与连接</x:v>
      </x:c>
      <x:c r="F567" s="8" t="str">
        <x:v>通行与连接</x:v>
      </x:c>
      <x:c r="G567" s="8" t="n">
        <x:v>26</x:v>
      </x:c>
      <x:c r="H567" s="8" t="n">
        <x:v>19</x:v>
      </x:c>
      <x:c r="I567" s="8" t="n">
        <x:v>0</x:v>
      </x:c>
      <x:c r="J567" s="8" t="n">
        <x:v>0</x:v>
      </x:c>
      <x:c r="K567" s="8" t="str">
        <x:v>["G246"]</x:v>
      </x:c>
      <x:c r="L567" s="8" t="str">
        <x:v>https://github.com/Sparkling-Flames/3D_Manhattan_label/blob/844a4694627e1eacc6bfb48911897335e48ecc17/data/mp3d_layout/test/img/yqstnuAEVhm_66ecc07f3cda4d8ebaf84288325669f5.png</x:v>
      </x:c>
      <x:c r="M567" s="8" t="str">
        <x:v>yqstnuAEVhm_66ecc07f3cda4d8ebaf84288325669f5</x:v>
      </x:c>
    </x:row>
    <x:row r="568" ht="44" customHeight="1">
      <x:c r="A568" s="8" t="str">
        <x:v>yqstnuAEVhm</x:v>
      </x:c>
      <x:c r="B568" s="8" t="n">
        <x:v>16</x:v>
      </x:c>
      <x:c r="C568" s="8" t="str">
        <x:v>通行与连接</x:v>
      </x:c>
      <x:c r="D568" s="8" t="str">
        <x:v>早期争议复核导出.user_type</x:v>
      </x:c>
      <x:c r="E568" s="8" t="str">
        <x:v>通行与连接</x:v>
      </x:c>
      <x:c r="F568" s="8" t="str">
        <x:v>通行与连接</x:v>
      </x:c>
      <x:c r="G568" s="8" t="n">
        <x:v>0</x:v>
      </x:c>
      <x:c r="H568" s="8" t="n">
        <x:v>0</x:v>
      </x:c>
      <x:c r="I568" s="8" t="n">
        <x:v>0</x:v>
      </x:c>
      <x:c r="J568" s="8" t="n">
        <x:v>19</x:v>
      </x:c>
      <x:c r="K568" s="8" t="str">
        <x:v>["G236", "G251"]</x:v>
      </x:c>
      <x:c r="L568" s="8" t="str">
        <x:v>https://github.com/Sparkling-Flames/3D_Manhattan_label/blob/844a4694627e1eacc6bfb48911897335e48ecc17/data/mp3d_layout/test/img/yqstnuAEVhm_67429c0368af46509d43ac43dcb904e6.png</x:v>
      </x:c>
      <x:c r="M568" s="8" t="str">
        <x:v>yqstnuAEVhm_67429c0368af46509d43ac43dcb904e6</x:v>
      </x:c>
    </x:row>
    <x:row r="569" ht="44" customHeight="1">
      <x:c r="A569" s="8" t="str">
        <x:v>yqstnuAEVhm</x:v>
      </x:c>
      <x:c r="B569" s="8" t="n">
        <x:v>17</x:v>
      </x:c>
      <x:c r="C569" s="8" t="str">
        <x:v>起居与休闲</x:v>
      </x:c>
      <x:c r="D569" s="8" t="str">
        <x:v>早期争议复核导出.user_type</x:v>
      </x:c>
      <x:c r="E569" s="8" t="str">
        <x:v>起居与休闲</x:v>
      </x:c>
      <x:c r="F569" s="8" t="str">
        <x:v>起居与休闲</x:v>
      </x:c>
      <x:c r="G569" s="8" t="n">
        <x:v>0</x:v>
      </x:c>
      <x:c r="H569" s="8" t="n">
        <x:v>0</x:v>
      </x:c>
      <x:c r="I569" s="8" t="n">
        <x:v>0</x:v>
      </x:c>
      <x:c r="J569" s="8" t="n">
        <x:v>19</x:v>
      </x:c>
      <x:c r="K569" s="8" t="str">
        <x:v>["G242"]</x:v>
      </x:c>
      <x:c r="L569" s="8" t="str">
        <x:v>https://github.com/Sparkling-Flames/3D_Manhattan_label/blob/844a4694627e1eacc6bfb48911897335e48ecc17/data/mp3d_layout/test/img/yqstnuAEVhm_6f4d197078d14d6e944ed6533598a6f9.png</x:v>
      </x:c>
      <x:c r="M569" s="8" t="str">
        <x:v>yqstnuAEVhm_6f4d197078d14d6e944ed6533598a6f9</x:v>
      </x:c>
    </x:row>
    <x:row r="570" ht="44" customHeight="1">
      <x:c r="A570" s="8" t="str">
        <x:v>yqstnuAEVhm</x:v>
      </x:c>
      <x:c r="B570" s="8" t="n">
        <x:v>19</x:v>
      </x:c>
      <x:c r="C570" s="8" t="str">
        <x:v>卫浴</x:v>
      </x:c>
      <x:c r="D570" s="8" t="str">
        <x:v>后续41图亲审.current_classification.coarse_type</x:v>
      </x:c>
      <x:c r="E570" s="8" t="str">
        <x:v>卫浴</x:v>
      </x:c>
      <x:c r="F570" s="8" t="str">
        <x:v>卫浴</x:v>
      </x:c>
      <x:c r="G570" s="8" t="n">
        <x:v>0</x:v>
      </x:c>
      <x:c r="H570" s="8" t="n">
        <x:v>0</x:v>
      </x:c>
      <x:c r="I570" s="8" t="n">
        <x:v>0</x:v>
      </x:c>
      <x:c r="J570" s="8" t="n">
        <x:v>19</x:v>
      </x:c>
      <x:c r="K570" s="8" t="str">
        <x:v>["G250"]</x:v>
      </x:c>
      <x:c r="L570" s="8" t="str">
        <x:v>https://github.com/Sparkling-Flames/3D_Manhattan_label/blob/844a4694627e1eacc6bfb48911897335e48ecc17/data/mp3d_layout/test/img/yqstnuAEVhm_703d93b8575b4c0ba99c285dea126401.png</x:v>
      </x:c>
      <x:c r="M570" s="8" t="str">
        <x:v>yqstnuAEVhm_703d93b8575b4c0ba99c285dea126401</x:v>
      </x:c>
    </x:row>
    <x:row r="571" ht="44" customHeight="1">
      <x:c r="A571" s="8" t="str">
        <x:v>yqstnuAEVhm</x:v>
      </x:c>
      <x:c r="B571" s="8" t="n">
        <x:v>21</x:v>
      </x:c>
      <x:c r="C571" s="8" t="str">
        <x:v>卧室</x:v>
      </x:c>
      <x:c r="D571" s="8" t="str">
        <x:v>早期争议复核导出.user_type</x:v>
      </x:c>
      <x:c r="E571" s="8" t="str">
        <x:v>卧室</x:v>
      </x:c>
      <x:c r="F571" s="8" t="str">
        <x:v>卧室</x:v>
      </x:c>
      <x:c r="G571" s="8" t="n">
        <x:v>0</x:v>
      </x:c>
      <x:c r="H571" s="8" t="n">
        <x:v>0</x:v>
      </x:c>
      <x:c r="I571" s="8" t="n">
        <x:v>0</x:v>
      </x:c>
      <x:c r="J571" s="8" t="n">
        <x:v>19</x:v>
      </x:c>
      <x:c r="K571" s="8" t="str">
        <x:v>["G251", "G252"]</x:v>
      </x:c>
      <x:c r="L571" s="8" t="str">
        <x:v>https://github.com/Sparkling-Flames/3D_Manhattan_label/blob/844a4694627e1eacc6bfb48911897335e48ecc17/data/mp3d_layout/test/img/yqstnuAEVhm_858240c249474a24b753d21b85056f23.png</x:v>
      </x:c>
      <x:c r="M571" s="8" t="str">
        <x:v>yqstnuAEVhm_858240c249474a24b753d21b85056f23</x:v>
      </x:c>
    </x:row>
    <x:row r="572" ht="44" customHeight="1">
      <x:c r="A572" s="8" t="str">
        <x:v>yqstnuAEVhm</x:v>
      </x:c>
      <x:c r="B572" s="8" t="n">
        <x:v>23</x:v>
      </x:c>
      <x:c r="C572" s="8" t="str">
        <x:v>通行与连接</x:v>
      </x:c>
      <x:c r="D572" s="8" t="str">
        <x:v>早期争议复核导出.user_type</x:v>
      </x:c>
      <x:c r="E572" s="8" t="str">
        <x:v>通行与连接</x:v>
      </x:c>
      <x:c r="F572" s="8" t="str">
        <x:v>通行与连接</x:v>
      </x:c>
      <x:c r="G572" s="8" t="n">
        <x:v>0</x:v>
      </x:c>
      <x:c r="H572" s="8" t="n">
        <x:v>0</x:v>
      </x:c>
      <x:c r="I572" s="8" t="n">
        <x:v>0</x:v>
      </x:c>
      <x:c r="J572" s="8" t="n">
        <x:v>19</x:v>
      </x:c>
      <x:c r="K572" s="8" t="str">
        <x:v>["G253"]</x:v>
      </x:c>
      <x:c r="L572" s="8" t="str">
        <x:v>https://github.com/Sparkling-Flames/3D_Manhattan_label/blob/844a4694627e1eacc6bfb48911897335e48ecc17/data/mp3d_layout/test/img/yqstnuAEVhm_96960ce9646a41e4bc183d75327fe1c1.png</x:v>
      </x:c>
      <x:c r="M572" s="8" t="str">
        <x:v>yqstnuAEVhm_96960ce9646a41e4bc183d75327fe1c1</x:v>
      </x:c>
    </x:row>
    <x:row r="573" ht="44" customHeight="1">
      <x:c r="A573" s="8" t="str">
        <x:v>yqstnuAEVhm</x:v>
      </x:c>
      <x:c r="B573" s="8" t="n">
        <x:v>24</x:v>
      </x:c>
      <x:c r="C573" s="8" t="str">
        <x:v>通行与连接</x:v>
      </x:c>
      <x:c r="D573" s="8" t="str">
        <x:v>早期争议复核导出.user_type</x:v>
      </x:c>
      <x:c r="E573" s="8" t="str">
        <x:v>通行与连接</x:v>
      </x:c>
      <x:c r="F573" s="8" t="str">
        <x:v>通行与连接</x:v>
      </x:c>
      <x:c r="G573" s="8" t="n">
        <x:v>5</x:v>
      </x:c>
      <x:c r="H573" s="8" t="n">
        <x:v>4</x:v>
      </x:c>
      <x:c r="I573" s="8" t="n">
        <x:v>0</x:v>
      </x:c>
      <x:c r="J573" s="8" t="n">
        <x:v>15</x:v>
      </x:c>
      <x:c r="K573" s="8" t="str">
        <x:v>["G253"]</x:v>
      </x:c>
      <x:c r="L573" s="8" t="str">
        <x:v>https://github.com/Sparkling-Flames/3D_Manhattan_label/blob/844a4694627e1eacc6bfb48911897335e48ecc17/data/mp3d_layout/test/img/yqstnuAEVhm_9cb726b170554b9bacd039d4db246040.png</x:v>
      </x:c>
      <x:c r="M573" s="8" t="str">
        <x:v>yqstnuAEVhm_9cb726b170554b9bacd039d4db246040</x:v>
      </x:c>
    </x:row>
    <x:row r="574" ht="44" customHeight="1">
      <x:c r="A574" s="8" t="str">
        <x:v>yqstnuAEVhm</x:v>
      </x:c>
      <x:c r="B574" s="8" t="n">
        <x:v>25</x:v>
      </x:c>
      <x:c r="C574" s="8" t="str">
        <x:v>工作与学习</x:v>
      </x:c>
      <x:c r="D574" s="8" t="str">
        <x:v>后续41图亲审.current_classification.coarse_type</x:v>
      </x:c>
      <x:c r="E574" s="8" t="str">
        <x:v>起居与休闲</x:v>
      </x:c>
      <x:c r="F574" s="8" t="str">
        <x:v>工作与学习</x:v>
      </x:c>
      <x:c r="G574" s="8" t="n">
        <x:v>23</x:v>
      </x:c>
      <x:c r="H574" s="8" t="n">
        <x:v>19</x:v>
      </x:c>
      <x:c r="I574" s="8" t="n">
        <x:v>0</x:v>
      </x:c>
      <x:c r="J574" s="8" t="n">
        <x:v>0</x:v>
      </x:c>
      <x:c r="K574" s="8" t="str">
        <x:v>["G243"]</x:v>
      </x:c>
      <x:c r="L574" s="8" t="str">
        <x:v>https://github.com/Sparkling-Flames/3D_Manhattan_label/blob/844a4694627e1eacc6bfb48911897335e48ecc17/data/mp3d_layout/test/img/yqstnuAEVhm_9de98503fd994452b627cdcc7a7d47b2.png</x:v>
      </x:c>
      <x:c r="M574" s="8" t="str">
        <x:v>yqstnuAEVhm_9de98503fd994452b627cdcc7a7d47b2</x:v>
      </x:c>
    </x:row>
    <x:row r="575" ht="44" customHeight="1">
      <x:c r="A575" s="8" t="str">
        <x:v>yqstnuAEVhm</x:v>
      </x:c>
      <x:c r="B575" s="8" t="n">
        <x:v>27</x:v>
      </x:c>
      <x:c r="C575" s="8" t="str">
        <x:v>通行与连接</x:v>
      </x:c>
      <x:c r="D575" s="8" t="str">
        <x:v>早期争议复核导出.user_type</x:v>
      </x:c>
      <x:c r="E575" s="8" t="str">
        <x:v>通行与连接</x:v>
      </x:c>
      <x:c r="F575" s="8" t="str">
        <x:v>通行与连接</x:v>
      </x:c>
      <x:c r="G575" s="8" t="n">
        <x:v>5</x:v>
      </x:c>
      <x:c r="H575" s="8" t="n">
        <x:v>5</x:v>
      </x:c>
      <x:c r="I575" s="8" t="n">
        <x:v>4</x:v>
      </x:c>
      <x:c r="J575" s="8" t="n">
        <x:v>11</x:v>
      </x:c>
      <x:c r="K575" s="8" t="str">
        <x:v>["G253"]</x:v>
      </x:c>
      <x:c r="L575" s="8" t="str">
        <x:v>https://github.com/Sparkling-Flames/3D_Manhattan_label/blob/844a4694627e1eacc6bfb48911897335e48ecc17/data/mp3d_layout/test/img/yqstnuAEVhm_b26ae45c6c12443cbcfc3997f2e63347.png</x:v>
      </x:c>
      <x:c r="M575" s="8" t="str">
        <x:v>yqstnuAEVhm_b26ae45c6c12443cbcfc3997f2e63347</x:v>
      </x:c>
    </x:row>
    <x:row r="576" ht="44" customHeight="1">
      <x:c r="A576" s="8" t="str">
        <x:v>yqstnuAEVhm</x:v>
      </x:c>
      <x:c r="B576" s="8" t="n">
        <x:v>28</x:v>
      </x:c>
      <x:c r="C576" s="8" t="str">
        <x:v>储藏与家务辅助</x:v>
      </x:c>
      <x:c r="D576" s="8" t="str">
        <x:v>早期争议复核导出.user_type</x:v>
      </x:c>
      <x:c r="E576" s="8" t="str">
        <x:v>储藏与家务辅助</x:v>
      </x:c>
      <x:c r="F576" s="8" t="str">
        <x:v>储藏与家务辅助</x:v>
      </x:c>
      <x:c r="G576" s="8" t="n">
        <x:v>0</x:v>
      </x:c>
      <x:c r="H576" s="8" t="n">
        <x:v>0</x:v>
      </x:c>
      <x:c r="I576" s="8" t="n">
        <x:v>0</x:v>
      </x:c>
      <x:c r="J576" s="8" t="n">
        <x:v>19</x:v>
      </x:c>
      <x:c r="K576" s="8" t="str">
        <x:v>["G247"]</x:v>
      </x:c>
      <x:c r="L576" s="8" t="str">
        <x:v>https://github.com/Sparkling-Flames/3D_Manhattan_label/blob/844a4694627e1eacc6bfb48911897335e48ecc17/data/mp3d_layout/test/img/yqstnuAEVhm_be1f9bddd03847cf964f3b9598c8e5d3.png</x:v>
      </x:c>
      <x:c r="M576" s="8" t="str">
        <x:v>yqstnuAEVhm_be1f9bddd03847cf964f3b9598c8e5d3</x:v>
      </x:c>
    </x:row>
    <x:row r="577" ht="44" customHeight="1">
      <x:c r="A577" s="8" t="str">
        <x:v>yqstnuAEVhm</x:v>
      </x:c>
      <x:c r="B577" s="8" t="n">
        <x:v>29</x:v>
      </x:c>
      <x:c r="C577" s="8" t="str">
        <x:v>起居与休闲</x:v>
      </x:c>
      <x:c r="D577" s="8" t="str">
        <x:v>早期争议复核导出.user_type</x:v>
      </x:c>
      <x:c r="E577" s="8" t="str">
        <x:v>客厅</x:v>
      </x:c>
      <x:c r="F577" s="8" t="str">
        <x:v>卧室</x:v>
      </x:c>
      <x:c r="G577" s="8" t="n">
        <x:v>5</x:v>
      </x:c>
      <x:c r="H577" s="8" t="n">
        <x:v>4</x:v>
      </x:c>
      <x:c r="I577" s="8" t="n">
        <x:v>0</x:v>
      </x:c>
      <x:c r="J577" s="8" t="n">
        <x:v>15</x:v>
      </x:c>
      <x:c r="K577" s="8" t="str">
        <x:v>["G245"]</x:v>
      </x:c>
      <x:c r="L577" s="8" t="str">
        <x:v>https://github.com/Sparkling-Flames/3D_Manhattan_label/blob/844a4694627e1eacc6bfb48911897335e48ecc17/data/mp3d_layout/test/img/yqstnuAEVhm_c93bf298b1cb41a1b368a6ce8bcff53d.png</x:v>
      </x:c>
      <x:c r="M577" s="8" t="str">
        <x:v>yqstnuAEVhm_c93bf298b1cb41a1b368a6ce8bcff53d</x:v>
      </x:c>
    </x:row>
    <x:row r="578" ht="44" customHeight="1">
      <x:c r="A578" s="8" t="str">
        <x:v>yqstnuAEVhm</x:v>
      </x:c>
      <x:c r="B578" s="8" t="n">
        <x:v>30</x:v>
      </x:c>
      <x:c r="C578" s="8" t="str">
        <x:v>待拆解(null)</x:v>
      </x:c>
      <x:c r="D578" s="8" t="str">
        <x:v>早期争议复核导出.user_type</x:v>
      </x:c>
      <x:c r="E578" s="8" t="str">
        <x:v>复合／待定</x:v>
      </x:c>
      <x:c r="F578" s="8" t="str">
        <x:v>卫浴</x:v>
      </x:c>
      <x:c r="G578" s="8" t="n">
        <x:v>0</x:v>
      </x:c>
      <x:c r="H578" s="8" t="n">
        <x:v>0</x:v>
      </x:c>
      <x:c r="I578" s="8" t="n">
        <x:v>0</x:v>
      </x:c>
      <x:c r="J578" s="8" t="n">
        <x:v>19</x:v>
      </x:c>
      <x:c r="K578" s="8" t="str">
        <x:v>["G248"]</x:v>
      </x:c>
      <x:c r="L578" s="8" t="str">
        <x:v>https://github.com/Sparkling-Flames/3D_Manhattan_label/blob/844a4694627e1eacc6bfb48911897335e48ecc17/data/mp3d_layout/test/img/yqstnuAEVhm_e3a33da5e5334b3fbc96997fc9c269dd.png</x:v>
      </x:c>
      <x:c r="M578" s="8" t="str">
        <x:v>yqstnuAEVhm_e3a33da5e5334b3fbc96997fc9c269dd</x:v>
      </x:c>
    </x:row>
    <x:row r="579" ht="44" customHeight="1">
      <x:c r="A579" s="8" t="str">
        <x:v>yqstnuAEVhm</x:v>
      </x:c>
      <x:c r="B579" s="8" t="n">
        <x:v>31</x:v>
      </x:c>
      <x:c r="C579" s="8" t="str">
        <x:v>起居与休闲</x:v>
      </x:c>
      <x:c r="D579" s="8" t="str">
        <x:v>早期争议复核导出.user_type</x:v>
      </x:c>
      <x:c r="E579" s="8" t="str">
        <x:v>客厅</x:v>
      </x:c>
      <x:c r="F579" s="8" t="str">
        <x:v>卧室</x:v>
      </x:c>
      <x:c r="G579" s="8" t="n">
        <x:v>25</x:v>
      </x:c>
      <x:c r="H579" s="8" t="n">
        <x:v>19</x:v>
      </x:c>
      <x:c r="I579" s="8" t="n">
        <x:v>0</x:v>
      </x:c>
      <x:c r="J579" s="8" t="n">
        <x:v>0</x:v>
      </x:c>
      <x:c r="K579" s="8" t="str">
        <x:v>["G245"]</x:v>
      </x:c>
      <x:c r="L579" s="8" t="str">
        <x:v>https://github.com/Sparkling-Flames/3D_Manhattan_label/blob/844a4694627e1eacc6bfb48911897335e48ecc17/data/mp3d_layout/test/img/yqstnuAEVhm_e3face7b2196414d95ed97151aa13058.png</x:v>
      </x:c>
      <x:c r="M579" s="8" t="str">
        <x:v>yqstnuAEVhm_e3face7b2196414d95ed97151aa13058</x:v>
      </x:c>
    </x:row>
    <x:row r="580" ht="44" customHeight="1">
      <x:c r="A580" s="8" t="str">
        <x:v>yqstnuAEVhm</x:v>
      </x:c>
      <x:c r="B580" s="8" t="n">
        <x:v>32</x:v>
      </x:c>
      <x:c r="C580" s="8" t="str">
        <x:v>卧室</x:v>
      </x:c>
      <x:c r="D580" s="8" t="str">
        <x:v>早期争议复核导出.user_type</x:v>
      </x:c>
      <x:c r="E580" s="8" t="str">
        <x:v>卧室</x:v>
      </x:c>
      <x:c r="F580" s="8" t="str">
        <x:v>卧室</x:v>
      </x:c>
      <x:c r="G580" s="8" t="n">
        <x:v>26</x:v>
      </x:c>
      <x:c r="H580" s="8" t="n">
        <x:v>19</x:v>
      </x:c>
      <x:c r="I580" s="8" t="n">
        <x:v>0</x:v>
      </x:c>
      <x:c r="J580" s="8" t="n">
        <x:v>0</x:v>
      </x:c>
      <x:c r="K580" s="8" t="str">
        <x:v>["G245"]</x:v>
      </x:c>
      <x:c r="L580" s="8" t="str">
        <x:v>https://github.com/Sparkling-Flames/3D_Manhattan_label/blob/844a4694627e1eacc6bfb48911897335e48ecc17/data/mp3d_layout/test/img/yqstnuAEVhm_e650c19e3eb34cc0b98374e5a23d1f65.png</x:v>
      </x:c>
      <x:c r="M580" s="8" t="str">
        <x:v>yqstnuAEVhm_e650c19e3eb34cc0b98374e5a23d1f65</x:v>
      </x:c>
    </x:row>
    <x:row r="581" ht="44" customHeight="1">
      <x:c r="A581" s="8" t="str">
        <x:v>yqstnuAEVhm</x:v>
      </x:c>
      <x:c r="B581" s="8" t="n">
        <x:v>33</x:v>
      </x:c>
      <x:c r="C581" s="8" t="str">
        <x:v>卧室</x:v>
      </x:c>
      <x:c r="D581" s="8" t="str">
        <x:v>早期争议复核导出.user_type</x:v>
      </x:c>
      <x:c r="E581" s="8" t="str">
        <x:v>卧室</x:v>
      </x:c>
      <x:c r="F581" s="8" t="str">
        <x:v>卧室</x:v>
      </x:c>
      <x:c r="G581" s="8" t="n">
        <x:v>0</x:v>
      </x:c>
      <x:c r="H581" s="8" t="n">
        <x:v>0</x:v>
      </x:c>
      <x:c r="I581" s="8" t="n">
        <x:v>0</x:v>
      </x:c>
      <x:c r="J581" s="8" t="n">
        <x:v>19</x:v>
      </x:c>
      <x:c r="K581" s="8" t="str">
        <x:v>["G252"]</x:v>
      </x:c>
      <x:c r="L581" s="8" t="str">
        <x:v>https://github.com/Sparkling-Flames/3D_Manhattan_label/blob/844a4694627e1eacc6bfb48911897335e48ecc17/data/mp3d_layout/test/img/yqstnuAEVhm_e6ed009322974b1d89c053c04c0849fa.png</x:v>
      </x:c>
      <x:c r="M581" s="8" t="str">
        <x:v>yqstnuAEVhm_e6ed009322974b1d89c053c04c0849fa</x:v>
      </x:c>
    </x:row>
    <x:row r="582" ht="44" customHeight="1">
      <x:c r="A582" s="8" t="str">
        <x:v>yqstnuAEVhm</x:v>
      </x:c>
      <x:c r="B582" s="8" t="n">
        <x:v>34</x:v>
      </x:c>
      <x:c r="C582" s="8" t="str">
        <x:v>通行与连接</x:v>
      </x:c>
      <x:c r="D582" s="8" t="str">
        <x:v>早期争议复核导出.user_type</x:v>
      </x:c>
      <x:c r="E582" s="8" t="str">
        <x:v>通行与连接</x:v>
      </x:c>
      <x:c r="F582" s="8" t="str">
        <x:v>通行与连接</x:v>
      </x:c>
      <x:c r="G582" s="8" t="n">
        <x:v>25</x:v>
      </x:c>
      <x:c r="H582" s="8" t="n">
        <x:v>19</x:v>
      </x:c>
      <x:c r="I582" s="8" t="n">
        <x:v>0</x:v>
      </x:c>
      <x:c r="J582" s="8" t="n">
        <x:v>0</x:v>
      </x:c>
      <x:c r="K582" s="8" t="str">
        <x:v>["G241"]</x:v>
      </x:c>
      <x:c r="L582" s="8" t="str">
        <x:v>https://github.com/Sparkling-Flames/3D_Manhattan_label/blob/844a4694627e1eacc6bfb48911897335e48ecc17/data/mp3d_layout/test/img/yqstnuAEVhm_e9b4d8e951cb4712b3905c8f4c4dabb5.png</x:v>
      </x:c>
      <x:c r="M582" s="8" t="str">
        <x:v>yqstnuAEVhm_e9b4d8e951cb4712b3905c8f4c4dabb5</x:v>
      </x:c>
    </x:row>
    <x:row r="583" ht="44" customHeight="1">
      <x:c r="A583" s="8" t="str">
        <x:v>yqstnuAEVhm</x:v>
      </x:c>
      <x:c r="B583" s="8" t="n">
        <x:v>35</x:v>
      </x:c>
      <x:c r="C583" s="8" t="str">
        <x:v>起居与休闲</x:v>
      </x:c>
      <x:c r="D583" s="8" t="str">
        <x:v>早期争议复核导出.user_type</x:v>
      </x:c>
      <x:c r="E583" s="8" t="str">
        <x:v>起居与休闲</x:v>
      </x:c>
      <x:c r="F583" s="8" t="str">
        <x:v>起居与休闲</x:v>
      </x:c>
      <x:c r="G583" s="8" t="n">
        <x:v>0</x:v>
      </x:c>
      <x:c r="H583" s="8" t="n">
        <x:v>0</x:v>
      </x:c>
      <x:c r="I583" s="8" t="n">
        <x:v>0</x:v>
      </x:c>
      <x:c r="J583" s="8" t="n">
        <x:v>19</x:v>
      </x:c>
      <x:c r="K583" s="8" t="str">
        <x:v>[]</x:v>
      </x:c>
      <x:c r="L583" s="8" t="str">
        <x:v>https://github.com/Sparkling-Flames/3D_Manhattan_label/blob/844a4694627e1eacc6bfb48911897335e48ecc17/data/mp3d_layout/test/img/yqstnuAEVhm_f2eeae1a36f14f6cb7b934efd9becb4d.png</x:v>
      </x:c>
      <x:c r="M583" s="8" t="str">
        <x:v>yqstnuAEVhm_f2eeae1a36f14f6cb7b934efd9becb4d</x:v>
      </x:c>
    </x:row>
    <x:row r="584" ht="44" customHeight="1">
      <x:c r="A584" s="8" t="str">
        <x:v>yqstnuAEVhm</x:v>
      </x:c>
      <x:c r="B584" s="8" t="n">
        <x:v>36</x:v>
      </x:c>
      <x:c r="C584" s="8" t="str">
        <x:v>卫浴</x:v>
      </x:c>
      <x:c r="D584" s="8" t="str">
        <x:v>早期争议复核导出.user_type</x:v>
      </x:c>
      <x:c r="E584" s="8" t="str">
        <x:v>卫浴</x:v>
      </x:c>
      <x:c r="F584" s="8" t="str">
        <x:v>卫浴</x:v>
      </x:c>
      <x:c r="G584" s="8" t="n">
        <x:v>0</x:v>
      </x:c>
      <x:c r="H584" s="8" t="n">
        <x:v>0</x:v>
      </x:c>
      <x:c r="I584" s="8" t="n">
        <x:v>0</x:v>
      </x:c>
      <x:c r="J584" s="8" t="n">
        <x:v>19</x:v>
      </x:c>
      <x:c r="K584" s="8" t="str">
        <x:v>["G249"]</x:v>
      </x:c>
      <x:c r="L584" s="8" t="str">
        <x:v>https://github.com/Sparkling-Flames/3D_Manhattan_label/blob/844a4694627e1eacc6bfb48911897335e48ecc17/data/mp3d_layout/test/img/yqstnuAEVhm_fc84c67a0ffd49cf8ffdc32df703bc86.png</x:v>
      </x:c>
      <x:c r="M584" s="8" t="str">
        <x:v>yqstnuAEVhm_fc84c67a0ffd49cf8ffdc32df703bc86</x:v>
      </x:c>
    </x:row>
    <x:row r="585" ht="44" customHeight="1">
      <x:c r="A585" s="8" t="str">
        <x:v>wc2JMjhGNzB</x:v>
      </x:c>
      <x:c r="B585" s="8" t="n">
        <x:v>1</x:v>
      </x:c>
      <x:c r="C585" s="8" t="str">
        <x:v>卧室</x:v>
      </x:c>
      <x:c r="D585" s="8" t="str">
        <x:v>早期争议复核导出.user_type</x:v>
      </x:c>
      <x:c r="E585" s="8" t="str">
        <x:v>卧室</x:v>
      </x:c>
      <x:c r="F585" s="8" t="str">
        <x:v>卧室</x:v>
      </x:c>
      <x:c r="G585" s="8" t="n">
        <x:v>0</x:v>
      </x:c>
      <x:c r="H585" s="8" t="n">
        <x:v>0</x:v>
      </x:c>
      <x:c r="I585" s="8" t="n">
        <x:v>0</x:v>
      </x:c>
      <x:c r="J585" s="8" t="n">
        <x:v>19</x:v>
      </x:c>
      <x:c r="K585" s="8" t="str">
        <x:v>["G201"]</x:v>
      </x:c>
      <x:c r="L585" s="8" t="str">
        <x:v>https://github.com/Sparkling-Flames/3D_Manhattan_label/blob/844a4694627e1eacc6bfb48911897335e48ecc17/data/mp3d_layout/test/img/wc2JMjhGNzB_026ce91a981c4de3bb9fd2daeb99ec2b.png</x:v>
      </x:c>
      <x:c r="M585" s="8" t="str">
        <x:v>wc2JMjhGNzB_026ce91a981c4de3bb9fd2daeb99ec2b</x:v>
      </x:c>
    </x:row>
    <x:row r="586" ht="44" customHeight="1">
      <x:c r="A586" s="8" t="str">
        <x:v>wc2JMjhGNzB</x:v>
      </x:c>
      <x:c r="B586" s="8" t="n">
        <x:v>2</x:v>
      </x:c>
      <x:c r="C586" s="8" t="str">
        <x:v>卫浴</x:v>
      </x:c>
      <x:c r="D586" s="8" t="str">
        <x:v>早期争议复核导出.user_type</x:v>
      </x:c>
      <x:c r="E586" s="8" t="str">
        <x:v>卫浴</x:v>
      </x:c>
      <x:c r="F586" s="8" t="str">
        <x:v>卫浴</x:v>
      </x:c>
      <x:c r="G586" s="8" t="n">
        <x:v>0</x:v>
      </x:c>
      <x:c r="H586" s="8" t="n">
        <x:v>0</x:v>
      </x:c>
      <x:c r="I586" s="8" t="n">
        <x:v>0</x:v>
      </x:c>
      <x:c r="J586" s="8" t="n">
        <x:v>19</x:v>
      </x:c>
      <x:c r="K586" s="8" t="str">
        <x:v>["G202"]</x:v>
      </x:c>
      <x:c r="L586" s="8" t="str">
        <x:v>https://github.com/Sparkling-Flames/3D_Manhattan_label/blob/844a4694627e1eacc6bfb48911897335e48ecc17/data/mp3d_layout/test/img/wc2JMjhGNzB_02bbd23673904a6980dc0e22b11c6a35.png</x:v>
      </x:c>
      <x:c r="M586" s="8" t="str">
        <x:v>wc2JMjhGNzB_02bbd23673904a6980dc0e22b11c6a35</x:v>
      </x:c>
    </x:row>
    <x:row r="587" ht="44" customHeight="1">
      <x:c r="A587" s="8" t="str">
        <x:v>wc2JMjhGNzB</x:v>
      </x:c>
      <x:c r="B587" s="8" t="n">
        <x:v>3</x:v>
      </x:c>
      <x:c r="C587" s="8" t="str">
        <x:v>卧室</x:v>
      </x:c>
      <x:c r="D587" s="8" t="str">
        <x:v>早期争议复核导出.user_type</x:v>
      </x:c>
      <x:c r="E587" s="8" t="str">
        <x:v>卧室</x:v>
      </x:c>
      <x:c r="F587" s="8" t="str">
        <x:v>卧室</x:v>
      </x:c>
      <x:c r="G587" s="8" t="n">
        <x:v>5</x:v>
      </x:c>
      <x:c r="H587" s="8" t="n">
        <x:v>5</x:v>
      </x:c>
      <x:c r="I587" s="8" t="n">
        <x:v>0</x:v>
      </x:c>
      <x:c r="J587" s="8" t="n">
        <x:v>14</x:v>
      </x:c>
      <x:c r="K587" s="8" t="str">
        <x:v>["G203", "G204", "G205"]</x:v>
      </x:c>
      <x:c r="L587" s="8" t="str">
        <x:v>https://github.com/Sparkling-Flames/3D_Manhattan_label/blob/844a4694627e1eacc6bfb48911897335e48ecc17/data/mp3d_layout/test/img/wc2JMjhGNzB_03c1aca95e254bf4b0db303a28d79aee.png</x:v>
      </x:c>
      <x:c r="M587" s="8" t="str">
        <x:v>wc2JMjhGNzB_03c1aca95e254bf4b0db303a28d79aee</x:v>
      </x:c>
    </x:row>
    <x:row r="588" ht="44" customHeight="1">
      <x:c r="A588" s="8" t="str">
        <x:v>wc2JMjhGNzB</x:v>
      </x:c>
      <x:c r="B588" s="8" t="n">
        <x:v>4</x:v>
      </x:c>
      <x:c r="C588" s="8" t="str">
        <x:v>待拆解(null)</x:v>
      </x:c>
      <x:c r="D588" s="8" t="str">
        <x:v>早期争议复核导出.user_type</x:v>
      </x:c>
      <x:c r="E588" s="8" t="str">
        <x:v>复合／待定</x:v>
      </x:c>
      <x:c r="F588" s="8" t="str">
        <x:v>无法判断</x:v>
      </x:c>
      <x:c r="G588" s="8" t="n">
        <x:v>0</x:v>
      </x:c>
      <x:c r="H588" s="8" t="n">
        <x:v>0</x:v>
      </x:c>
      <x:c r="I588" s="8" t="n">
        <x:v>0</x:v>
      </x:c>
      <x:c r="J588" s="8" t="n">
        <x:v>19</x:v>
      </x:c>
      <x:c r="K588" s="8" t="str">
        <x:v>["G206", "G207"]</x:v>
      </x:c>
      <x:c r="L588" s="8" t="str">
        <x:v>https://github.com/Sparkling-Flames/3D_Manhattan_label/blob/844a4694627e1eacc6bfb48911897335e48ecc17/data/mp3d_layout/test/img/wc2JMjhGNzB_05e7fcde7a00435ebba65933c1758dde.png</x:v>
      </x:c>
      <x:c r="M588" s="8" t="str">
        <x:v>wc2JMjhGNzB_05e7fcde7a00435ebba65933c1758dde</x:v>
      </x:c>
    </x:row>
    <x:row r="589" ht="44" customHeight="1">
      <x:c r="A589" s="8" t="str">
        <x:v>wc2JMjhGNzB</x:v>
      </x:c>
      <x:c r="B589" s="8" t="n">
        <x:v>5</x:v>
      </x:c>
      <x:c r="C589" s="8" t="str">
        <x:v>通行与连接</x:v>
      </x:c>
      <x:c r="D589" s="8" t="str">
        <x:v>早期争议复核导出.user_type</x:v>
      </x:c>
      <x:c r="E589" s="8" t="str">
        <x:v>通行与连接</x:v>
      </x:c>
      <x:c r="F589" s="8" t="str">
        <x:v>通行与连接</x:v>
      </x:c>
      <x:c r="G589" s="8" t="n">
        <x:v>0</x:v>
      </x:c>
      <x:c r="H589" s="8" t="n">
        <x:v>0</x:v>
      </x:c>
      <x:c r="I589" s="8" t="n">
        <x:v>0</x:v>
      </x:c>
      <x:c r="J589" s="8" t="n">
        <x:v>19</x:v>
      </x:c>
      <x:c r="K589" s="8" t="str">
        <x:v>[]</x:v>
      </x:c>
      <x:c r="L589" s="8" t="str">
        <x:v>https://github.com/Sparkling-Flames/3D_Manhattan_label/blob/844a4694627e1eacc6bfb48911897335e48ecc17/data/mp3d_layout/test/img/wc2JMjhGNzB_074ac1d681e3415081b89cf582e1e995.png</x:v>
      </x:c>
      <x:c r="M589" s="8" t="str">
        <x:v>wc2JMjhGNzB_074ac1d681e3415081b89cf582e1e995</x:v>
      </x:c>
    </x:row>
    <x:row r="590" ht="44" customHeight="1">
      <x:c r="A590" s="8" t="str">
        <x:v>wc2JMjhGNzB</x:v>
      </x:c>
      <x:c r="B590" s="8" t="n">
        <x:v>6</x:v>
      </x:c>
      <x:c r="C590" s="8" t="str">
        <x:v>卫浴</x:v>
      </x:c>
      <x:c r="D590" s="8" t="str">
        <x:v>早期争议复核导出.user_type</x:v>
      </x:c>
      <x:c r="E590" s="8" t="str">
        <x:v>卫浴</x:v>
      </x:c>
      <x:c r="F590" s="8" t="str">
        <x:v>卫浴</x:v>
      </x:c>
      <x:c r="G590" s="8" t="n">
        <x:v>0</x:v>
      </x:c>
      <x:c r="H590" s="8" t="n">
        <x:v>0</x:v>
      </x:c>
      <x:c r="I590" s="8" t="n">
        <x:v>0</x:v>
      </x:c>
      <x:c r="J590" s="8" t="n">
        <x:v>19</x:v>
      </x:c>
      <x:c r="K590" s="8" t="str">
        <x:v>["G208"]</x:v>
      </x:c>
      <x:c r="L590" s="8" t="str">
        <x:v>https://github.com/Sparkling-Flames/3D_Manhattan_label/blob/844a4694627e1eacc6bfb48911897335e48ecc17/data/mp3d_layout/test/img/wc2JMjhGNzB_07fb6ea1434a451aa8dc27539ede0991.png</x:v>
      </x:c>
      <x:c r="M590" s="8" t="str">
        <x:v>wc2JMjhGNzB_07fb6ea1434a451aa8dc27539ede0991</x:v>
      </x:c>
    </x:row>
    <x:row r="591" ht="44" customHeight="1">
      <x:c r="A591" s="8" t="str">
        <x:v>wc2JMjhGNzB</x:v>
      </x:c>
      <x:c r="B591" s="8" t="n">
        <x:v>7</x:v>
      </x:c>
      <x:c r="C591" s="8" t="str">
        <x:v>待拆解(null)</x:v>
      </x:c>
      <x:c r="D591" s="8" t="str">
        <x:v>早期争议复核导出.user_type</x:v>
      </x:c>
      <x:c r="E591" s="8" t="str">
        <x:v>复合／待定</x:v>
      </x:c>
      <x:c r="F591" s="8" t="str">
        <x:v>无法判断</x:v>
      </x:c>
      <x:c r="G591" s="8" t="n">
        <x:v>0</x:v>
      </x:c>
      <x:c r="H591" s="8" t="n">
        <x:v>0</x:v>
      </x:c>
      <x:c r="I591" s="8" t="n">
        <x:v>0</x:v>
      </x:c>
      <x:c r="J591" s="8" t="n">
        <x:v>19</x:v>
      </x:c>
      <x:c r="K591" s="8" t="str">
        <x:v>["G206", "G209"]</x:v>
      </x:c>
      <x:c r="L591" s="8" t="str">
        <x:v>https://github.com/Sparkling-Flames/3D_Manhattan_label/blob/844a4694627e1eacc6bfb48911897335e48ecc17/data/mp3d_layout/test/img/wc2JMjhGNzB_0a54ae7daf36423fb6a5607caf3fb942.png</x:v>
      </x:c>
      <x:c r="M591" s="8" t="str">
        <x:v>wc2JMjhGNzB_0a54ae7daf36423fb6a5607caf3fb942</x:v>
      </x:c>
    </x:row>
    <x:row r="592" ht="44" customHeight="1">
      <x:c r="A592" s="8" t="str">
        <x:v>wc2JMjhGNzB</x:v>
      </x:c>
      <x:c r="B592" s="8" t="n">
        <x:v>8</x:v>
      </x:c>
      <x:c r="C592" s="8" t="str">
        <x:v>起居与休闲</x:v>
      </x:c>
      <x:c r="D592" s="8" t="str">
        <x:v>早期争议复核导出.user_type</x:v>
      </x:c>
      <x:c r="E592" s="8" t="str">
        <x:v>起居与休闲</x:v>
      </x:c>
      <x:c r="F592" s="8" t="str">
        <x:v>起居与休闲</x:v>
      </x:c>
      <x:c r="G592" s="8" t="n">
        <x:v>0</x:v>
      </x:c>
      <x:c r="H592" s="8" t="n">
        <x:v>0</x:v>
      </x:c>
      <x:c r="I592" s="8" t="n">
        <x:v>0</x:v>
      </x:c>
      <x:c r="J592" s="8" t="n">
        <x:v>19</x:v>
      </x:c>
      <x:c r="K592" s="8" t="str">
        <x:v>["G210", "G211"]</x:v>
      </x:c>
      <x:c r="L592" s="8" t="str">
        <x:v>https://github.com/Sparkling-Flames/3D_Manhattan_label/blob/844a4694627e1eacc6bfb48911897335e48ecc17/data/mp3d_layout/test/img/wc2JMjhGNzB_0bef60c301e646c7a2acadfa12e7cdff.png</x:v>
      </x:c>
      <x:c r="M592" s="8" t="str">
        <x:v>wc2JMjhGNzB_0bef60c301e646c7a2acadfa12e7cdff</x:v>
      </x:c>
    </x:row>
    <x:row r="593" ht="44" customHeight="1">
      <x:c r="A593" s="8" t="str">
        <x:v>wc2JMjhGNzB</x:v>
      </x:c>
      <x:c r="B593" s="8" t="n">
        <x:v>9</x:v>
      </x:c>
      <x:c r="C593" s="8" t="str">
        <x:v>起居与休闲</x:v>
      </x:c>
      <x:c r="D593" s="8" t="str">
        <x:v>早期争议复核导出.user_type</x:v>
      </x:c>
      <x:c r="E593" s="8" t="str">
        <x:v>客厅</x:v>
      </x:c>
      <x:c r="F593" s="8" t="str">
        <x:v>工作与学习</x:v>
      </x:c>
      <x:c r="G593" s="8" t="n">
        <x:v>0</x:v>
      </x:c>
      <x:c r="H593" s="8" t="n">
        <x:v>0</x:v>
      </x:c>
      <x:c r="I593" s="8" t="n">
        <x:v>0</x:v>
      </x:c>
      <x:c r="J593" s="8" t="n">
        <x:v>19</x:v>
      </x:c>
      <x:c r="K593" s="8" t="str">
        <x:v>["G212"]</x:v>
      </x:c>
      <x:c r="L593" s="8" t="str">
        <x:v>https://github.com/Sparkling-Flames/3D_Manhattan_label/blob/844a4694627e1eacc6bfb48911897335e48ecc17/data/mp3d_layout/test/img/wc2JMjhGNzB_0caf634967404e889bf227539d7eaa0f.png</x:v>
      </x:c>
      <x:c r="M593" s="8" t="str">
        <x:v>wc2JMjhGNzB_0caf634967404e889bf227539d7eaa0f</x:v>
      </x:c>
    </x:row>
    <x:row r="594" ht="44" customHeight="1">
      <x:c r="A594" s="8" t="str">
        <x:v>wc2JMjhGNzB</x:v>
      </x:c>
      <x:c r="B594" s="8" t="n">
        <x:v>10</x:v>
      </x:c>
      <x:c r="C594" s="8" t="str">
        <x:v>待拆解(null)</x:v>
      </x:c>
      <x:c r="D594" s="8" t="str">
        <x:v>早期争议复核导出.user_type</x:v>
      </x:c>
      <x:c r="E594" s="8" t="str">
        <x:v>复合／待定</x:v>
      </x:c>
      <x:c r="F594" s="8" t="str">
        <x:v>无法判断</x:v>
      </x:c>
      <x:c r="G594" s="8" t="n">
        <x:v>0</x:v>
      </x:c>
      <x:c r="H594" s="8" t="n">
        <x:v>0</x:v>
      </x:c>
      <x:c r="I594" s="8" t="n">
        <x:v>0</x:v>
      </x:c>
      <x:c r="J594" s="8" t="n">
        <x:v>19</x:v>
      </x:c>
      <x:c r="K594" s="8" t="str">
        <x:v>["G209", "G213"]</x:v>
      </x:c>
      <x:c r="L594" s="8" t="str">
        <x:v>https://github.com/Sparkling-Flames/3D_Manhattan_label/blob/844a4694627e1eacc6bfb48911897335e48ecc17/data/mp3d_layout/test/img/wc2JMjhGNzB_12757e972ea64bbfbeb14f7cf5ccaf8b.png</x:v>
      </x:c>
      <x:c r="M594" s="8" t="str">
        <x:v>wc2JMjhGNzB_12757e972ea64bbfbeb14f7cf5ccaf8b</x:v>
      </x:c>
    </x:row>
    <x:row r="595" ht="44" customHeight="1">
      <x:c r="A595" s="8" t="str">
        <x:v>wc2JMjhGNzB</x:v>
      </x:c>
      <x:c r="B595" s="8" t="n">
        <x:v>11</x:v>
      </x:c>
      <x:c r="C595" s="8" t="str">
        <x:v>厨房与用餐</x:v>
      </x:c>
      <x:c r="D595" s="8" t="str">
        <x:v>早期争议复核导出.user_type</x:v>
      </x:c>
      <x:c r="E595" s="8" t="str">
        <x:v>厨房与用餐</x:v>
      </x:c>
      <x:c r="F595" s="8" t="str">
        <x:v>厨房与用餐</x:v>
      </x:c>
      <x:c r="G595" s="8" t="n">
        <x:v>0</x:v>
      </x:c>
      <x:c r="H595" s="8" t="n">
        <x:v>0</x:v>
      </x:c>
      <x:c r="I595" s="8" t="n">
        <x:v>0</x:v>
      </x:c>
      <x:c r="J595" s="8" t="n">
        <x:v>19</x:v>
      </x:c>
      <x:c r="K595" s="8" t="str">
        <x:v>["G214", "G215"]</x:v>
      </x:c>
      <x:c r="L595" s="8" t="str">
        <x:v>https://github.com/Sparkling-Flames/3D_Manhattan_label/blob/844a4694627e1eacc6bfb48911897335e48ecc17/data/mp3d_layout/test/img/wc2JMjhGNzB_1aff3784945741cb892fe1f389a90383.png</x:v>
      </x:c>
      <x:c r="M595" s="8" t="str">
        <x:v>wc2JMjhGNzB_1aff3784945741cb892fe1f389a90383</x:v>
      </x:c>
    </x:row>
    <x:row r="596" ht="44" customHeight="1">
      <x:c r="A596" s="8" t="str">
        <x:v>wc2JMjhGNzB</x:v>
      </x:c>
      <x:c r="B596" s="8" t="n">
        <x:v>12</x:v>
      </x:c>
      <x:c r="C596" s="8" t="str">
        <x:v>起居与休闲</x:v>
      </x:c>
      <x:c r="D596" s="8" t="str">
        <x:v>早期争议复核导出.user_type</x:v>
      </x:c>
      <x:c r="E596" s="8" t="str">
        <x:v>起居与休闲</x:v>
      </x:c>
      <x:c r="F596" s="8" t="str">
        <x:v>起居与休闲</x:v>
      </x:c>
      <x:c r="G596" s="8" t="n">
        <x:v>0</x:v>
      </x:c>
      <x:c r="H596" s="8" t="n">
        <x:v>0</x:v>
      </x:c>
      <x:c r="I596" s="8" t="n">
        <x:v>0</x:v>
      </x:c>
      <x:c r="J596" s="8" t="n">
        <x:v>19</x:v>
      </x:c>
      <x:c r="K596" s="8" t="str">
        <x:v>["G210", "G216"]</x:v>
      </x:c>
      <x:c r="L596" s="8" t="str">
        <x:v>https://github.com/Sparkling-Flames/3D_Manhattan_label/blob/844a4694627e1eacc6bfb48911897335e48ecc17/data/mp3d_layout/test/img/wc2JMjhGNzB_1be9e528556447d0897d382ddd408766.png</x:v>
      </x:c>
      <x:c r="M596" s="8" t="str">
        <x:v>wc2JMjhGNzB_1be9e528556447d0897d382ddd408766</x:v>
      </x:c>
    </x:row>
    <x:row r="597" ht="44" customHeight="1">
      <x:c r="A597" s="8" t="str">
        <x:v>wc2JMjhGNzB</x:v>
      </x:c>
      <x:c r="B597" s="8" t="n">
        <x:v>13</x:v>
      </x:c>
      <x:c r="C597" s="8" t="str">
        <x:v>储藏与家务辅助</x:v>
      </x:c>
      <x:c r="D597" s="8" t="str">
        <x:v>早期争议复核导出.user_type</x:v>
      </x:c>
      <x:c r="E597" s="8" t="str">
        <x:v>储藏与家务辅助</x:v>
      </x:c>
      <x:c r="F597" s="8" t="str">
        <x:v>储藏与家务辅助</x:v>
      </x:c>
      <x:c r="G597" s="8" t="n">
        <x:v>0</x:v>
      </x:c>
      <x:c r="H597" s="8" t="n">
        <x:v>0</x:v>
      </x:c>
      <x:c r="I597" s="8" t="n">
        <x:v>0</x:v>
      </x:c>
      <x:c r="J597" s="8" t="n">
        <x:v>19</x:v>
      </x:c>
      <x:c r="K597" s="8" t="str">
        <x:v>["G217"]</x:v>
      </x:c>
      <x:c r="L597" s="8" t="str">
        <x:v>https://github.com/Sparkling-Flames/3D_Manhattan_label/blob/844a4694627e1eacc6bfb48911897335e48ecc17/data/mp3d_layout/test/img/wc2JMjhGNzB_1d1b27d1b8db40f99e2fa3af6e237ce9.png</x:v>
      </x:c>
      <x:c r="M597" s="8" t="str">
        <x:v>wc2JMjhGNzB_1d1b27d1b8db40f99e2fa3af6e237ce9</x:v>
      </x:c>
    </x:row>
    <x:row r="598" ht="44" customHeight="1">
      <x:c r="A598" s="8" t="str">
        <x:v>wc2JMjhGNzB</x:v>
      </x:c>
      <x:c r="B598" s="8" t="n">
        <x:v>14</x:v>
      </x:c>
      <x:c r="C598" s="8" t="str">
        <x:v>储藏与家务辅助</x:v>
      </x:c>
      <x:c r="D598" s="8" t="str">
        <x:v>早期争议复核导出.user_type</x:v>
      </x:c>
      <x:c r="E598" s="8" t="str">
        <x:v>储藏与家务辅助</x:v>
      </x:c>
      <x:c r="F598" s="8" t="str">
        <x:v>储藏与家务辅助</x:v>
      </x:c>
      <x:c r="G598" s="8" t="n">
        <x:v>5</x:v>
      </x:c>
      <x:c r="H598" s="8" t="n">
        <x:v>4</x:v>
      </x:c>
      <x:c r="I598" s="8" t="n">
        <x:v>0</x:v>
      </x:c>
      <x:c r="J598" s="8" t="n">
        <x:v>15</x:v>
      </x:c>
      <x:c r="K598" s="8" t="str">
        <x:v>["G218"]</x:v>
      </x:c>
      <x:c r="L598" s="8" t="str">
        <x:v>https://github.com/Sparkling-Flames/3D_Manhattan_label/blob/844a4694627e1eacc6bfb48911897335e48ecc17/data/mp3d_layout/test/img/wc2JMjhGNzB_1d8917d25abb4a77a0da9583dc82c17c.png</x:v>
      </x:c>
      <x:c r="M598" s="8" t="str">
        <x:v>wc2JMjhGNzB_1d8917d25abb4a77a0da9583dc82c17c</x:v>
      </x:c>
    </x:row>
    <x:row r="599" ht="44" customHeight="1">
      <x:c r="A599" s="8" t="str">
        <x:v>wc2JMjhGNzB</x:v>
      </x:c>
      <x:c r="B599" s="8" t="n">
        <x:v>15</x:v>
      </x:c>
      <x:c r="C599" s="8" t="str">
        <x:v>待拆解(null)</x:v>
      </x:c>
      <x:c r="D599" s="8" t="str">
        <x:v>早期争议复核导出.user_type</x:v>
      </x:c>
      <x:c r="E599" s="8" t="str">
        <x:v>复合／待定</x:v>
      </x:c>
      <x:c r="F599" s="8" t="str">
        <x:v>无法判断</x:v>
      </x:c>
      <x:c r="G599" s="8" t="n">
        <x:v>24</x:v>
      </x:c>
      <x:c r="H599" s="8" t="n">
        <x:v>19</x:v>
      </x:c>
      <x:c r="I599" s="8" t="n">
        <x:v>0</x:v>
      </x:c>
      <x:c r="J599" s="8" t="n">
        <x:v>0</x:v>
      </x:c>
      <x:c r="K599" s="8" t="str">
        <x:v>["G207"]</x:v>
      </x:c>
      <x:c r="L599" s="8" t="str">
        <x:v>https://github.com/Sparkling-Flames/3D_Manhattan_label/blob/844a4694627e1eacc6bfb48911897335e48ecc17/data/mp3d_layout/test/img/wc2JMjhGNzB_2195c5a9b9fd451b927b0050f23fac31.png</x:v>
      </x:c>
      <x:c r="M599" s="8" t="str">
        <x:v>wc2JMjhGNzB_2195c5a9b9fd451b927b0050f23fac31</x:v>
      </x:c>
    </x:row>
    <x:row r="600" ht="44" customHeight="1">
      <x:c r="A600" s="8" t="str">
        <x:v>wc2JMjhGNzB</x:v>
      </x:c>
      <x:c r="B600" s="8" t="n">
        <x:v>16</x:v>
      </x:c>
      <x:c r="C600" s="8" t="str">
        <x:v>卧室</x:v>
      </x:c>
      <x:c r="D600" s="8" t="str">
        <x:v>早期争议复核导出.user_type</x:v>
      </x:c>
      <x:c r="E600" s="8" t="str">
        <x:v>卧室</x:v>
      </x:c>
      <x:c r="F600" s="8" t="str">
        <x:v>卧室</x:v>
      </x:c>
      <x:c r="G600" s="8" t="n">
        <x:v>0</x:v>
      </x:c>
      <x:c r="H600" s="8" t="n">
        <x:v>0</x:v>
      </x:c>
      <x:c r="I600" s="8" t="n">
        <x:v>0</x:v>
      </x:c>
      <x:c r="J600" s="8" t="n">
        <x:v>19</x:v>
      </x:c>
      <x:c r="K600" s="8" t="str">
        <x:v>["G201"]</x:v>
      </x:c>
      <x:c r="L600" s="8" t="str">
        <x:v>https://github.com/Sparkling-Flames/3D_Manhattan_label/blob/844a4694627e1eacc6bfb48911897335e48ecc17/data/mp3d_layout/test/img/wc2JMjhGNzB_25dffb87de434b119296fc0a02ede607.png</x:v>
      </x:c>
      <x:c r="M600" s="8" t="str">
        <x:v>wc2JMjhGNzB_25dffb87de434b119296fc0a02ede607</x:v>
      </x:c>
    </x:row>
    <x:row r="601" ht="44" customHeight="1">
      <x:c r="A601" s="8" t="str">
        <x:v>wc2JMjhGNzB</x:v>
      </x:c>
      <x:c r="B601" s="8" t="n">
        <x:v>17</x:v>
      </x:c>
      <x:c r="C601" s="8" t="str">
        <x:v>厨房与用餐</x:v>
      </x:c>
      <x:c r="D601" s="8" t="str">
        <x:v>早期争议复核导出.user_type</x:v>
      </x:c>
      <x:c r="E601" s="8" t="str">
        <x:v>厨房与用餐</x:v>
      </x:c>
      <x:c r="F601" s="8" t="str">
        <x:v>开放复合空间</x:v>
      </x:c>
      <x:c r="G601" s="8" t="n">
        <x:v>0</x:v>
      </x:c>
      <x:c r="H601" s="8" t="n">
        <x:v>0</x:v>
      </x:c>
      <x:c r="I601" s="8" t="n">
        <x:v>0</x:v>
      </x:c>
      <x:c r="J601" s="8" t="n">
        <x:v>19</x:v>
      </x:c>
      <x:c r="K601" s="8" t="str">
        <x:v>["G219", "G220", "G221"]</x:v>
      </x:c>
      <x:c r="L601" s="8" t="str">
        <x:v>https://github.com/Sparkling-Flames/3D_Manhattan_label/blob/844a4694627e1eacc6bfb48911897335e48ecc17/data/mp3d_layout/test/img/wc2JMjhGNzB_2880c0784aa0462a8070b30416752de6.png</x:v>
      </x:c>
      <x:c r="M601" s="8" t="str">
        <x:v>wc2JMjhGNzB_2880c0784aa0462a8070b30416752de6</x:v>
      </x:c>
    </x:row>
    <x:row r="602" ht="44" customHeight="1">
      <x:c r="A602" s="8" t="str">
        <x:v>wc2JMjhGNzB</x:v>
      </x:c>
      <x:c r="B602" s="8" t="n">
        <x:v>18</x:v>
      </x:c>
      <x:c r="C602" s="8" t="str">
        <x:v>卧室</x:v>
      </x:c>
      <x:c r="D602" s="8" t="str">
        <x:v>后续41图亲审.current_classification.coarse_type</x:v>
      </x:c>
      <x:c r="E602" s="8" t="str">
        <x:v>卧室</x:v>
      </x:c>
      <x:c r="F602" s="8" t="str">
        <x:v>卧室</x:v>
      </x:c>
      <x:c r="G602" s="8" t="n">
        <x:v>0</x:v>
      </x:c>
      <x:c r="H602" s="8" t="n">
        <x:v>0</x:v>
      </x:c>
      <x:c r="I602" s="8" t="n">
        <x:v>26</x:v>
      </x:c>
      <x:c r="J602" s="8" t="n">
        <x:v>0</x:v>
      </x:c>
      <x:c r="K602" s="8" t="str">
        <x:v>["G203", "G222"]</x:v>
      </x:c>
      <x:c r="L602" s="8" t="str">
        <x:v>https://github.com/Sparkling-Flames/3D_Manhattan_label/blob/844a4694627e1eacc6bfb48911897335e48ecc17/data/mp3d_layout/test/img/wc2JMjhGNzB_3504ff17bcae4d6c85bdc61fc3a5bf0c.png</x:v>
      </x:c>
      <x:c r="M602" s="8" t="str">
        <x:v>wc2JMjhGNzB_3504ff17bcae4d6c85bdc61fc3a5bf0c</x:v>
      </x:c>
    </x:row>
    <x:row r="603" ht="44" customHeight="1">
      <x:c r="A603" s="8" t="str">
        <x:v>wc2JMjhGNzB</x:v>
      </x:c>
      <x:c r="B603" s="8" t="n">
        <x:v>19</x:v>
      </x:c>
      <x:c r="C603" s="8" t="str">
        <x:v>储藏与家务辅助</x:v>
      </x:c>
      <x:c r="D603" s="8" t="str">
        <x:v>早期争议复核导出.user_type</x:v>
      </x:c>
      <x:c r="E603" s="8" t="str">
        <x:v>储藏与家务辅助</x:v>
      </x:c>
      <x:c r="F603" s="8" t="str">
        <x:v>储藏与家务辅助</x:v>
      </x:c>
      <x:c r="G603" s="8" t="n">
        <x:v>0</x:v>
      </x:c>
      <x:c r="H603" s="8" t="n">
        <x:v>0</x:v>
      </x:c>
      <x:c r="I603" s="8" t="n">
        <x:v>0</x:v>
      </x:c>
      <x:c r="J603" s="8" t="n">
        <x:v>19</x:v>
      </x:c>
      <x:c r="K603" s="8" t="str">
        <x:v>[]</x:v>
      </x:c>
      <x:c r="L603" s="8" t="str">
        <x:v>https://github.com/Sparkling-Flames/3D_Manhattan_label/blob/844a4694627e1eacc6bfb48911897335e48ecc17/data/mp3d_layout/test/img/wc2JMjhGNzB_36f4749077674307bce31998171e96ef.png</x:v>
      </x:c>
      <x:c r="M603" s="8" t="str">
        <x:v>wc2JMjhGNzB_36f4749077674307bce31998171e96ef</x:v>
      </x:c>
    </x:row>
    <x:row r="604" ht="44" customHeight="1">
      <x:c r="A604" s="8" t="str">
        <x:v>wc2JMjhGNzB</x:v>
      </x:c>
      <x:c r="B604" s="8" t="n">
        <x:v>20</x:v>
      </x:c>
      <x:c r="C604" s="8" t="str">
        <x:v>通行与连接</x:v>
      </x:c>
      <x:c r="D604" s="8" t="str">
        <x:v>早期争议复核导出.user_type</x:v>
      </x:c>
      <x:c r="E604" s="8" t="str">
        <x:v>通行与连接</x:v>
      </x:c>
      <x:c r="F604" s="8" t="str">
        <x:v>通行与连接</x:v>
      </x:c>
      <x:c r="G604" s="8" t="n">
        <x:v>0</x:v>
      </x:c>
      <x:c r="H604" s="8" t="n">
        <x:v>0</x:v>
      </x:c>
      <x:c r="I604" s="8" t="n">
        <x:v>26</x:v>
      </x:c>
      <x:c r="J604" s="8" t="n">
        <x:v>0</x:v>
      </x:c>
      <x:c r="K604" s="8" t="str">
        <x:v>["G204", "G223"]</x:v>
      </x:c>
      <x:c r="L604" s="8" t="str">
        <x:v>https://github.com/Sparkling-Flames/3D_Manhattan_label/blob/844a4694627e1eacc6bfb48911897335e48ecc17/data/mp3d_layout/test/img/wc2JMjhGNzB_3848b1ba65fa49308c3d0a79f63782b3.png</x:v>
      </x:c>
      <x:c r="M604" s="8" t="str">
        <x:v>wc2JMjhGNzB_3848b1ba65fa49308c3d0a79f63782b3</x:v>
      </x:c>
    </x:row>
    <x:row r="605" ht="44" customHeight="1">
      <x:c r="A605" s="8" t="str">
        <x:v>wc2JMjhGNzB</x:v>
      </x:c>
      <x:c r="B605" s="8" t="n">
        <x:v>21</x:v>
      </x:c>
      <x:c r="C605" s="8" t="str">
        <x:v>储藏与家务辅助</x:v>
      </x:c>
      <x:c r="D605" s="8" t="str">
        <x:v>早期争议复核导出.user_type</x:v>
      </x:c>
      <x:c r="E605" s="8" t="str">
        <x:v>储藏与家务辅助</x:v>
      </x:c>
      <x:c r="F605" s="8" t="str">
        <x:v>储藏与家务辅助</x:v>
      </x:c>
      <x:c r="G605" s="8" t="n">
        <x:v>0</x:v>
      </x:c>
      <x:c r="H605" s="8" t="n">
        <x:v>0</x:v>
      </x:c>
      <x:c r="I605" s="8" t="n">
        <x:v>0</x:v>
      </x:c>
      <x:c r="J605" s="8" t="n">
        <x:v>19</x:v>
      </x:c>
      <x:c r="K605" s="8" t="str">
        <x:v>["G224"]</x:v>
      </x:c>
      <x:c r="L605" s="8" t="str">
        <x:v>https://github.com/Sparkling-Flames/3D_Manhattan_label/blob/844a4694627e1eacc6bfb48911897335e48ecc17/data/mp3d_layout/test/img/wc2JMjhGNzB_3949e4e00d354f79afea742a2b0599d2.png</x:v>
      </x:c>
      <x:c r="M605" s="8" t="str">
        <x:v>wc2JMjhGNzB_3949e4e00d354f79afea742a2b0599d2</x:v>
      </x:c>
    </x:row>
    <x:row r="606" ht="44" customHeight="1">
      <x:c r="A606" s="8" t="str">
        <x:v>wc2JMjhGNzB</x:v>
      </x:c>
      <x:c r="B606" s="8" t="n">
        <x:v>22</x:v>
      </x:c>
      <x:c r="C606" s="8" t="str">
        <x:v>卧室</x:v>
      </x:c>
      <x:c r="D606" s="8" t="str">
        <x:v>早期争议复核导出.user_type</x:v>
      </x:c>
      <x:c r="E606" s="8" t="str">
        <x:v>卧室</x:v>
      </x:c>
      <x:c r="F606" s="8" t="str">
        <x:v>卧室</x:v>
      </x:c>
      <x:c r="G606" s="8" t="n">
        <x:v>0</x:v>
      </x:c>
      <x:c r="H606" s="8" t="n">
        <x:v>0</x:v>
      </x:c>
      <x:c r="I606" s="8" t="n">
        <x:v>0</x:v>
      </x:c>
      <x:c r="J606" s="8" t="n">
        <x:v>19</x:v>
      </x:c>
      <x:c r="K606" s="8" t="str">
        <x:v>["G205"]</x:v>
      </x:c>
      <x:c r="L606" s="8" t="str">
        <x:v>https://github.com/Sparkling-Flames/3D_Manhattan_label/blob/844a4694627e1eacc6bfb48911897335e48ecc17/data/mp3d_layout/test/img/wc2JMjhGNzB_3a035012369c4eb58295238d946fbc66.png</x:v>
      </x:c>
      <x:c r="M606" s="8" t="str">
        <x:v>wc2JMjhGNzB_3a035012369c4eb58295238d946fbc66</x:v>
      </x:c>
    </x:row>
    <x:row r="607" ht="44" customHeight="1">
      <x:c r="A607" s="8" t="str">
        <x:v>wc2JMjhGNzB</x:v>
      </x:c>
      <x:c r="B607" s="8" t="n">
        <x:v>23</x:v>
      </x:c>
      <x:c r="C607" s="8" t="str">
        <x:v>卧室</x:v>
      </x:c>
      <x:c r="D607" s="8" t="str">
        <x:v>早期争议复核导出.user_type</x:v>
      </x:c>
      <x:c r="E607" s="8" t="str">
        <x:v>卧室</x:v>
      </x:c>
      <x:c r="F607" s="8" t="str">
        <x:v>卧室</x:v>
      </x:c>
      <x:c r="G607" s="8" t="n">
        <x:v>0</x:v>
      </x:c>
      <x:c r="H607" s="8" t="n">
        <x:v>0</x:v>
      </x:c>
      <x:c r="I607" s="8" t="n">
        <x:v>0</x:v>
      </x:c>
      <x:c r="J607" s="8" t="n">
        <x:v>19</x:v>
      </x:c>
      <x:c r="K607" s="8" t="str">
        <x:v>["G201"]</x:v>
      </x:c>
      <x:c r="L607" s="8" t="str">
        <x:v>https://github.com/Sparkling-Flames/3D_Manhattan_label/blob/844a4694627e1eacc6bfb48911897335e48ecc17/data/mp3d_layout/test/img/wc2JMjhGNzB_40ea4145b9e946aab5d56de3ce179c8e.png</x:v>
      </x:c>
      <x:c r="M607" s="8" t="str">
        <x:v>wc2JMjhGNzB_40ea4145b9e946aab5d56de3ce179c8e</x:v>
      </x:c>
    </x:row>
    <x:row r="608" ht="44" customHeight="1">
      <x:c r="A608" s="8" t="str">
        <x:v>wc2JMjhGNzB</x:v>
      </x:c>
      <x:c r="B608" s="8" t="n">
        <x:v>24</x:v>
      </x:c>
      <x:c r="C608" s="8" t="str">
        <x:v>特殊用途</x:v>
      </x:c>
      <x:c r="D608" s="8" t="str">
        <x:v>早期争议复核导出.user_type</x:v>
      </x:c>
      <x:c r="E608" s="8" t="str">
        <x:v>特殊用途（暂不合并分析）</x:v>
      </x:c>
      <x:c r="F608" s="8" t="str">
        <x:v>特殊用途</x:v>
      </x:c>
      <x:c r="G608" s="8" t="n">
        <x:v>0</x:v>
      </x:c>
      <x:c r="H608" s="8" t="n">
        <x:v>0</x:v>
      </x:c>
      <x:c r="I608" s="8" t="n">
        <x:v>0</x:v>
      </x:c>
      <x:c r="J608" s="8" t="n">
        <x:v>19</x:v>
      </x:c>
      <x:c r="K608" s="8" t="str">
        <x:v>[]</x:v>
      </x:c>
      <x:c r="L608" s="8" t="str">
        <x:v>https://github.com/Sparkling-Flames/3D_Manhattan_label/blob/844a4694627e1eacc6bfb48911897335e48ecc17/data/mp3d_layout/test/img/wc2JMjhGNzB_431023d1f9fd40048ceee9214fd8464a.png</x:v>
      </x:c>
      <x:c r="M608" s="8" t="str">
        <x:v>wc2JMjhGNzB_431023d1f9fd40048ceee9214fd8464a</x:v>
      </x:c>
    </x:row>
    <x:row r="609" ht="44" customHeight="1">
      <x:c r="A609" s="8" t="str">
        <x:v>wc2JMjhGNzB</x:v>
      </x:c>
      <x:c r="B609" s="8" t="n">
        <x:v>25</x:v>
      </x:c>
      <x:c r="C609" s="8" t="str">
        <x:v>卫浴</x:v>
      </x:c>
      <x:c r="D609" s="8" t="str">
        <x:v>早期争议复核导出.user_type</x:v>
      </x:c>
      <x:c r="E609" s="8" t="str">
        <x:v>卫浴</x:v>
      </x:c>
      <x:c r="F609" s="8" t="str">
        <x:v>卫浴</x:v>
      </x:c>
      <x:c r="G609" s="8" t="n">
        <x:v>0</x:v>
      </x:c>
      <x:c r="H609" s="8" t="n">
        <x:v>0</x:v>
      </x:c>
      <x:c r="I609" s="8" t="n">
        <x:v>0</x:v>
      </x:c>
      <x:c r="J609" s="8" t="n">
        <x:v>19</x:v>
      </x:c>
      <x:c r="K609" s="8" t="str">
        <x:v>["G202"]</x:v>
      </x:c>
      <x:c r="L609" s="8" t="str">
        <x:v>https://github.com/Sparkling-Flames/3D_Manhattan_label/blob/844a4694627e1eacc6bfb48911897335e48ecc17/data/mp3d_layout/test/img/wc2JMjhGNzB_479b5e13d201492086bb3b69be5b124d.png</x:v>
      </x:c>
      <x:c r="M609" s="8" t="str">
        <x:v>wc2JMjhGNzB_479b5e13d201492086bb3b69be5b124d</x:v>
      </x:c>
    </x:row>
    <x:row r="610" ht="44" customHeight="1">
      <x:c r="A610" s="8" t="str">
        <x:v>wc2JMjhGNzB</x:v>
      </x:c>
      <x:c r="B610" s="8" t="n">
        <x:v>26</x:v>
      </x:c>
      <x:c r="C610" s="8" t="str">
        <x:v>卫浴</x:v>
      </x:c>
      <x:c r="D610" s="8" t="str">
        <x:v>后续41图亲审.current_classification.coarse_type</x:v>
      </x:c>
      <x:c r="E610" s="8" t="str">
        <x:v>卫浴</x:v>
      </x:c>
      <x:c r="F610" s="8" t="str">
        <x:v>卫浴</x:v>
      </x:c>
      <x:c r="G610" s="8" t="n">
        <x:v>6</x:v>
      </x:c>
      <x:c r="H610" s="8" t="n">
        <x:v>5</x:v>
      </x:c>
      <x:c r="I610" s="8" t="n">
        <x:v>0</x:v>
      </x:c>
      <x:c r="J610" s="8" t="n">
        <x:v>14</x:v>
      </x:c>
      <x:c r="K610" s="8" t="str">
        <x:v>["G202"]</x:v>
      </x:c>
      <x:c r="L610" s="8" t="str">
        <x:v>https://github.com/Sparkling-Flames/3D_Manhattan_label/blob/844a4694627e1eacc6bfb48911897335e48ecc17/data/mp3d_layout/test/img/wc2JMjhGNzB_4884da3227464ab5b82f631ff22205bd.png</x:v>
      </x:c>
      <x:c r="M610" s="8" t="str">
        <x:v>wc2JMjhGNzB_4884da3227464ab5b82f631ff22205bd</x:v>
      </x:c>
    </x:row>
    <x:row r="611" ht="44" customHeight="1">
      <x:c r="A611" s="8" t="str">
        <x:v>wc2JMjhGNzB</x:v>
      </x:c>
      <x:c r="B611" s="8" t="n">
        <x:v>27</x:v>
      </x:c>
      <x:c r="C611" s="8" t="str">
        <x:v>卧室</x:v>
      </x:c>
      <x:c r="D611" s="8" t="str">
        <x:v>早期争议复核导出.user_type</x:v>
      </x:c>
      <x:c r="E611" s="8" t="str">
        <x:v>卧室</x:v>
      </x:c>
      <x:c r="F611" s="8" t="str">
        <x:v>卧室</x:v>
      </x:c>
      <x:c r="G611" s="8" t="n">
        <x:v>0</x:v>
      </x:c>
      <x:c r="H611" s="8" t="n">
        <x:v>0</x:v>
      </x:c>
      <x:c r="I611" s="8" t="n">
        <x:v>0</x:v>
      </x:c>
      <x:c r="J611" s="8" t="n">
        <x:v>19</x:v>
      </x:c>
      <x:c r="K611" s="8" t="str">
        <x:v>["G201"]</x:v>
      </x:c>
      <x:c r="L611" s="8" t="str">
        <x:v>https://github.com/Sparkling-Flames/3D_Manhattan_label/blob/844a4694627e1eacc6bfb48911897335e48ecc17/data/mp3d_layout/test/img/wc2JMjhGNzB_48a93a3b61354385b30974c248c11ef2.png</x:v>
      </x:c>
      <x:c r="M611" s="8" t="str">
        <x:v>wc2JMjhGNzB_48a93a3b61354385b30974c248c11ef2</x:v>
      </x:c>
    </x:row>
    <x:row r="612" ht="44" customHeight="1">
      <x:c r="A612" s="8" t="str">
        <x:v>wc2JMjhGNzB</x:v>
      </x:c>
      <x:c r="B612" s="8" t="n">
        <x:v>28</x:v>
      </x:c>
      <x:c r="C612" s="8" t="str">
        <x:v>起居与休闲</x:v>
      </x:c>
      <x:c r="D612" s="8" t="str">
        <x:v>早期争议复核导出.user_type</x:v>
      </x:c>
      <x:c r="E612" s="8" t="str">
        <x:v>起居与休闲</x:v>
      </x:c>
      <x:c r="F612" s="8" t="str">
        <x:v>起居与休闲</x:v>
      </x:c>
      <x:c r="G612" s="8" t="n">
        <x:v>0</x:v>
      </x:c>
      <x:c r="H612" s="8" t="n">
        <x:v>0</x:v>
      </x:c>
      <x:c r="I612" s="8" t="n">
        <x:v>0</x:v>
      </x:c>
      <x:c r="J612" s="8" t="n">
        <x:v>19</x:v>
      </x:c>
      <x:c r="K612" s="8" t="str">
        <x:v>["G211"]</x:v>
      </x:c>
      <x:c r="L612" s="8" t="str">
        <x:v>https://github.com/Sparkling-Flames/3D_Manhattan_label/blob/844a4694627e1eacc6bfb48911897335e48ecc17/data/mp3d_layout/test/img/wc2JMjhGNzB_4af5e796d4d348bc9129c41d5b0556cd.png</x:v>
      </x:c>
      <x:c r="M612" s="8" t="str">
        <x:v>wc2JMjhGNzB_4af5e796d4d348bc9129c41d5b0556cd</x:v>
      </x:c>
    </x:row>
    <x:row r="613" ht="44" customHeight="1">
      <x:c r="A613" s="8" t="str">
        <x:v>wc2JMjhGNzB</x:v>
      </x:c>
      <x:c r="B613" s="8" t="n">
        <x:v>29</x:v>
      </x:c>
      <x:c r="C613" s="8" t="str">
        <x:v>卧室</x:v>
      </x:c>
      <x:c r="D613" s="8" t="str">
        <x:v>早期争议复核导出.user_type</x:v>
      </x:c>
      <x:c r="E613" s="8" t="str">
        <x:v>卧室</x:v>
      </x:c>
      <x:c r="F613" s="8" t="str">
        <x:v>卧室</x:v>
      </x:c>
      <x:c r="G613" s="8" t="n">
        <x:v>0</x:v>
      </x:c>
      <x:c r="H613" s="8" t="n">
        <x:v>0</x:v>
      </x:c>
      <x:c r="I613" s="8" t="n">
        <x:v>0</x:v>
      </x:c>
      <x:c r="J613" s="8" t="n">
        <x:v>19</x:v>
      </x:c>
      <x:c r="K613" s="8" t="str">
        <x:v>["G205"]</x:v>
      </x:c>
      <x:c r="L613" s="8" t="str">
        <x:v>https://github.com/Sparkling-Flames/3D_Manhattan_label/blob/844a4694627e1eacc6bfb48911897335e48ecc17/data/mp3d_layout/test/img/wc2JMjhGNzB_52ed6a0219e84a0bb6db8037ae700366.png</x:v>
      </x:c>
      <x:c r="M613" s="8" t="str">
        <x:v>wc2JMjhGNzB_52ed6a0219e84a0bb6db8037ae700366</x:v>
      </x:c>
    </x:row>
    <x:row r="614" ht="44" customHeight="1">
      <x:c r="A614" s="8" t="str">
        <x:v>wc2JMjhGNzB</x:v>
      </x:c>
      <x:c r="B614" s="8" t="n">
        <x:v>30</x:v>
      </x:c>
      <x:c r="C614" s="8" t="str">
        <x:v>卧室</x:v>
      </x:c>
      <x:c r="D614" s="8" t="str">
        <x:v>早期争议复核导出.user_type</x:v>
      </x:c>
      <x:c r="E614" s="8" t="str">
        <x:v>卧室</x:v>
      </x:c>
      <x:c r="F614" s="8" t="str">
        <x:v>卧室</x:v>
      </x:c>
      <x:c r="G614" s="8" t="n">
        <x:v>6</x:v>
      </x:c>
      <x:c r="H614" s="8" t="n">
        <x:v>5</x:v>
      </x:c>
      <x:c r="I614" s="8" t="n">
        <x:v>4</x:v>
      </x:c>
      <x:c r="J614" s="8" t="n">
        <x:v>11</x:v>
      </x:c>
      <x:c r="K614" s="8" t="str">
        <x:v>["G201"]</x:v>
      </x:c>
      <x:c r="L614" s="8" t="str">
        <x:v>https://github.com/Sparkling-Flames/3D_Manhattan_label/blob/844a4694627e1eacc6bfb48911897335e48ecc17/data/mp3d_layout/test/img/wc2JMjhGNzB_55b45b0f19c2460bbcd1fb1c86c6610d.png</x:v>
      </x:c>
      <x:c r="M614" s="8" t="str">
        <x:v>wc2JMjhGNzB_55b45b0f19c2460bbcd1fb1c86c6610d</x:v>
      </x:c>
    </x:row>
    <x:row r="615" ht="44" customHeight="1">
      <x:c r="A615" s="8" t="str">
        <x:v>wc2JMjhGNzB</x:v>
      </x:c>
      <x:c r="B615" s="8" t="n">
        <x:v>31</x:v>
      </x:c>
      <x:c r="C615" s="8" t="str">
        <x:v>起居与休闲</x:v>
      </x:c>
      <x:c r="D615" s="8" t="str">
        <x:v>早期争议复核导出.user_type</x:v>
      </x:c>
      <x:c r="E615" s="8" t="str">
        <x:v>起居与休闲</x:v>
      </x:c>
      <x:c r="F615" s="8" t="str">
        <x:v>起居与休闲</x:v>
      </x:c>
      <x:c r="G615" s="8" t="n">
        <x:v>0</x:v>
      </x:c>
      <x:c r="H615" s="8" t="n">
        <x:v>0</x:v>
      </x:c>
      <x:c r="I615" s="8" t="n">
        <x:v>0</x:v>
      </x:c>
      <x:c r="J615" s="8" t="n">
        <x:v>19</x:v>
      </x:c>
      <x:c r="K615" s="8" t="str">
        <x:v>["G225"]</x:v>
      </x:c>
      <x:c r="L615" s="8" t="str">
        <x:v>https://github.com/Sparkling-Flames/3D_Manhattan_label/blob/844a4694627e1eacc6bfb48911897335e48ecc17/data/mp3d_layout/test/img/wc2JMjhGNzB_5b147d7f689a410baca131f29c8a9515.png</x:v>
      </x:c>
      <x:c r="M615" s="8" t="str">
        <x:v>wc2JMjhGNzB_5b147d7f689a410baca131f29c8a9515</x:v>
      </x:c>
    </x:row>
    <x:row r="616" ht="44" customHeight="1">
      <x:c r="A616" s="8" t="str">
        <x:v>wc2JMjhGNzB</x:v>
      </x:c>
      <x:c r="B616" s="8" t="n">
        <x:v>32</x:v>
      </x:c>
      <x:c r="C616" s="8" t="str">
        <x:v>卧室</x:v>
      </x:c>
      <x:c r="D616" s="8" t="str">
        <x:v>早期争议复核导出.user_type</x:v>
      </x:c>
      <x:c r="E616" s="8" t="str">
        <x:v>卧室</x:v>
      </x:c>
      <x:c r="F616" s="8" t="str">
        <x:v>卧室</x:v>
      </x:c>
      <x:c r="G616" s="8" t="n">
        <x:v>0</x:v>
      </x:c>
      <x:c r="H616" s="8" t="n">
        <x:v>0</x:v>
      </x:c>
      <x:c r="I616" s="8" t="n">
        <x:v>0</x:v>
      </x:c>
      <x:c r="J616" s="8" t="n">
        <x:v>19</x:v>
      </x:c>
      <x:c r="K616" s="8" t="str">
        <x:v>["G201"]</x:v>
      </x:c>
      <x:c r="L616" s="8" t="str">
        <x:v>https://github.com/Sparkling-Flames/3D_Manhattan_label/blob/844a4694627e1eacc6bfb48911897335e48ecc17/data/mp3d_layout/test/img/wc2JMjhGNzB_5b34120ed9c24e47a673426ea7ea7a07.png</x:v>
      </x:c>
      <x:c r="M616" s="8" t="str">
        <x:v>wc2JMjhGNzB_5b34120ed9c24e47a673426ea7ea7a07</x:v>
      </x:c>
    </x:row>
    <x:row r="617" ht="44" customHeight="1">
      <x:c r="A617" s="8" t="str">
        <x:v>wc2JMjhGNzB</x:v>
      </x:c>
      <x:c r="B617" s="8" t="n">
        <x:v>33</x:v>
      </x:c>
      <x:c r="C617" s="8" t="str">
        <x:v>卫浴</x:v>
      </x:c>
      <x:c r="D617" s="8" t="str">
        <x:v>早期争议复核导出.user_type</x:v>
      </x:c>
      <x:c r="E617" s="8" t="str">
        <x:v>卫浴</x:v>
      </x:c>
      <x:c r="F617" s="8" t="str">
        <x:v>卫浴</x:v>
      </x:c>
      <x:c r="G617" s="8" t="n">
        <x:v>0</x:v>
      </x:c>
      <x:c r="H617" s="8" t="n">
        <x:v>0</x:v>
      </x:c>
      <x:c r="I617" s="8" t="n">
        <x:v>0</x:v>
      </x:c>
      <x:c r="J617" s="8" t="n">
        <x:v>19</x:v>
      </x:c>
      <x:c r="K617" s="8" t="str">
        <x:v>["G208"]</x:v>
      </x:c>
      <x:c r="L617" s="8" t="str">
        <x:v>https://github.com/Sparkling-Flames/3D_Manhattan_label/blob/844a4694627e1eacc6bfb48911897335e48ecc17/data/mp3d_layout/test/img/wc2JMjhGNzB_5c363f3933e84bb5aceb3899f997b6fb.png</x:v>
      </x:c>
      <x:c r="M617" s="8" t="str">
        <x:v>wc2JMjhGNzB_5c363f3933e84bb5aceb3899f997b6fb</x:v>
      </x:c>
    </x:row>
    <x:row r="618" ht="44" customHeight="1">
      <x:c r="A618" s="8" t="str">
        <x:v>wc2JMjhGNzB</x:v>
      </x:c>
      <x:c r="B618" s="8" t="n">
        <x:v>34</x:v>
      </x:c>
      <x:c r="C618" s="8" t="str">
        <x:v>厨房与用餐</x:v>
      </x:c>
      <x:c r="D618" s="8" t="str">
        <x:v>早期争议复核导出.user_type</x:v>
      </x:c>
      <x:c r="E618" s="8" t="str">
        <x:v>厨房与用餐</x:v>
      </x:c>
      <x:c r="F618" s="8" t="str">
        <x:v>厨房与用餐</x:v>
      </x:c>
      <x:c r="G618" s="8" t="n">
        <x:v>0</x:v>
      </x:c>
      <x:c r="H618" s="8" t="n">
        <x:v>0</x:v>
      </x:c>
      <x:c r="I618" s="8" t="n">
        <x:v>0</x:v>
      </x:c>
      <x:c r="J618" s="8" t="n">
        <x:v>19</x:v>
      </x:c>
      <x:c r="K618" s="8" t="str">
        <x:v>["G214"]</x:v>
      </x:c>
      <x:c r="L618" s="8" t="str">
        <x:v>https://github.com/Sparkling-Flames/3D_Manhattan_label/blob/844a4694627e1eacc6bfb48911897335e48ecc17/data/mp3d_layout/test/img/wc2JMjhGNzB_649ef3674e0f4e7c9eac67f94d237573.png</x:v>
      </x:c>
      <x:c r="M618" s="8" t="str">
        <x:v>wc2JMjhGNzB_649ef3674e0f4e7c9eac67f94d237573</x:v>
      </x:c>
    </x:row>
    <x:row r="619" ht="44" customHeight="1">
      <x:c r="A619" s="8" t="str">
        <x:v>wc2JMjhGNzB</x:v>
      </x:c>
      <x:c r="B619" s="8" t="n">
        <x:v>35</x:v>
      </x:c>
      <x:c r="C619" s="8" t="str">
        <x:v>起居与休闲</x:v>
      </x:c>
      <x:c r="D619" s="8" t="str">
        <x:v>早期争议复核导出.user_type</x:v>
      </x:c>
      <x:c r="E619" s="8" t="str">
        <x:v>客厅</x:v>
      </x:c>
      <x:c r="F619" s="8" t="str">
        <x:v>工作与学习</x:v>
      </x:c>
      <x:c r="G619" s="8" t="n">
        <x:v>0</x:v>
      </x:c>
      <x:c r="H619" s="8" t="n">
        <x:v>0</x:v>
      </x:c>
      <x:c r="I619" s="8" t="n">
        <x:v>0</x:v>
      </x:c>
      <x:c r="J619" s="8" t="n">
        <x:v>19</x:v>
      </x:c>
      <x:c r="K619" s="8" t="str">
        <x:v>["G212"]</x:v>
      </x:c>
      <x:c r="L619" s="8" t="str">
        <x:v>https://github.com/Sparkling-Flames/3D_Manhattan_label/blob/844a4694627e1eacc6bfb48911897335e48ecc17/data/mp3d_layout/test/img/wc2JMjhGNzB_6888c169680241f19a903ee49dac3655.png</x:v>
      </x:c>
      <x:c r="M619" s="8" t="str">
        <x:v>wc2JMjhGNzB_6888c169680241f19a903ee49dac3655</x:v>
      </x:c>
    </x:row>
    <x:row r="620" ht="44" customHeight="1">
      <x:c r="A620" s="8" t="str">
        <x:v>wc2JMjhGNzB</x:v>
      </x:c>
      <x:c r="B620" s="8" t="n">
        <x:v>36</x:v>
      </x:c>
      <x:c r="C620" s="8" t="str">
        <x:v>储藏与家务辅助</x:v>
      </x:c>
      <x:c r="D620" s="8" t="str">
        <x:v>早期争议复核导出.user_type</x:v>
      </x:c>
      <x:c r="E620" s="8" t="str">
        <x:v>储藏与家务辅助</x:v>
      </x:c>
      <x:c r="F620" s="8" t="str">
        <x:v>储藏与家务辅助</x:v>
      </x:c>
      <x:c r="G620" s="8" t="n">
        <x:v>0</x:v>
      </x:c>
      <x:c r="H620" s="8" t="n">
        <x:v>0</x:v>
      </x:c>
      <x:c r="I620" s="8" t="n">
        <x:v>0</x:v>
      </x:c>
      <x:c r="J620" s="8" t="n">
        <x:v>19</x:v>
      </x:c>
      <x:c r="K620" s="8" t="str">
        <x:v>["G224"]</x:v>
      </x:c>
      <x:c r="L620" s="8" t="str">
        <x:v>https://github.com/Sparkling-Flames/3D_Manhattan_label/blob/844a4694627e1eacc6bfb48911897335e48ecc17/data/mp3d_layout/test/img/wc2JMjhGNzB_6dca116f3be44ac89eb68038d832957b.png</x:v>
      </x:c>
      <x:c r="M620" s="8" t="str">
        <x:v>wc2JMjhGNzB_6dca116f3be44ac89eb68038d832957b</x:v>
      </x:c>
    </x:row>
    <x:row r="621" ht="44" customHeight="1">
      <x:c r="A621" s="8" t="str">
        <x:v>wc2JMjhGNzB</x:v>
      </x:c>
      <x:c r="B621" s="8" t="n">
        <x:v>37</x:v>
      </x:c>
      <x:c r="C621" s="8" t="str">
        <x:v>厨房与用餐</x:v>
      </x:c>
      <x:c r="D621" s="8" t="str">
        <x:v>早期争议复核导出.user_type</x:v>
      </x:c>
      <x:c r="E621" s="8" t="str">
        <x:v>厨房与用餐</x:v>
      </x:c>
      <x:c r="F621" s="8" t="str">
        <x:v>厨房与用餐</x:v>
      </x:c>
      <x:c r="G621" s="8" t="n">
        <x:v>0</x:v>
      </x:c>
      <x:c r="H621" s="8" t="n">
        <x:v>0</x:v>
      </x:c>
      <x:c r="I621" s="8" t="n">
        <x:v>0</x:v>
      </x:c>
      <x:c r="J621" s="8" t="n">
        <x:v>19</x:v>
      </x:c>
      <x:c r="K621" s="8" t="str">
        <x:v>["G219"]</x:v>
      </x:c>
      <x:c r="L621" s="8" t="str">
        <x:v>https://github.com/Sparkling-Flames/3D_Manhattan_label/blob/844a4694627e1eacc6bfb48911897335e48ecc17/data/mp3d_layout/test/img/wc2JMjhGNzB_6e491bc8576345bda3cdde9ab216b7be.png</x:v>
      </x:c>
      <x:c r="M621" s="8" t="str">
        <x:v>wc2JMjhGNzB_6e491bc8576345bda3cdde9ab216b7be</x:v>
      </x:c>
    </x:row>
    <x:row r="622" ht="44" customHeight="1">
      <x:c r="A622" s="8" t="str">
        <x:v>wc2JMjhGNzB</x:v>
      </x:c>
      <x:c r="B622" s="8" t="n">
        <x:v>38</x:v>
      </x:c>
      <x:c r="C622" s="8" t="str">
        <x:v>卧室</x:v>
      </x:c>
      <x:c r="D622" s="8" t="str">
        <x:v>后续41图亲审.current_classification.coarse_type</x:v>
      </x:c>
      <x:c r="E622" s="8" t="str">
        <x:v>卧室</x:v>
      </x:c>
      <x:c r="F622" s="8" t="str">
        <x:v>卧室</x:v>
      </x:c>
      <x:c r="G622" s="8" t="n">
        <x:v>0</x:v>
      </x:c>
      <x:c r="H622" s="8" t="n">
        <x:v>0</x:v>
      </x:c>
      <x:c r="I622" s="8" t="n">
        <x:v>0</x:v>
      </x:c>
      <x:c r="J622" s="8" t="n">
        <x:v>19</x:v>
      </x:c>
      <x:c r="K622" s="8" t="str">
        <x:v>["G222"]</x:v>
      </x:c>
      <x:c r="L622" s="8" t="str">
        <x:v>https://github.com/Sparkling-Flames/3D_Manhattan_label/blob/844a4694627e1eacc6bfb48911897335e48ecc17/data/mp3d_layout/test/img/wc2JMjhGNzB_72cf693eb66c4a8a8062080763f50a09.png</x:v>
      </x:c>
      <x:c r="M622" s="8" t="str">
        <x:v>wc2JMjhGNzB_72cf693eb66c4a8a8062080763f50a09</x:v>
      </x:c>
    </x:row>
    <x:row r="623" ht="44" customHeight="1">
      <x:c r="A623" s="8" t="str">
        <x:v>wc2JMjhGNzB</x:v>
      </x:c>
      <x:c r="B623" s="8" t="n">
        <x:v>39</x:v>
      </x:c>
      <x:c r="C623" s="8" t="str">
        <x:v>卫浴</x:v>
      </x:c>
      <x:c r="D623" s="8" t="str">
        <x:v>早期争议复核导出.user_type</x:v>
      </x:c>
      <x:c r="E623" s="8" t="str">
        <x:v>卫浴</x:v>
      </x:c>
      <x:c r="F623" s="8" t="str">
        <x:v>卫浴</x:v>
      </x:c>
      <x:c r="G623" s="8" t="n">
        <x:v>0</x:v>
      </x:c>
      <x:c r="H623" s="8" t="n">
        <x:v>0</x:v>
      </x:c>
      <x:c r="I623" s="8" t="n">
        <x:v>0</x:v>
      </x:c>
      <x:c r="J623" s="8" t="n">
        <x:v>19</x:v>
      </x:c>
      <x:c r="K623" s="8" t="str">
        <x:v>["G226"]</x:v>
      </x:c>
      <x:c r="L623" s="8" t="str">
        <x:v>https://github.com/Sparkling-Flames/3D_Manhattan_label/blob/844a4694627e1eacc6bfb48911897335e48ecc17/data/mp3d_layout/test/img/wc2JMjhGNzB_765293b6cd0a4bf4a50595038eb2b623.png</x:v>
      </x:c>
      <x:c r="M623" s="8" t="str">
        <x:v>wc2JMjhGNzB_765293b6cd0a4bf4a50595038eb2b623</x:v>
      </x:c>
    </x:row>
    <x:row r="624" ht="44" customHeight="1">
      <x:c r="A624" s="8" t="str">
        <x:v>wc2JMjhGNzB</x:v>
      </x:c>
      <x:c r="B624" s="8" t="n">
        <x:v>40</x:v>
      </x:c>
      <x:c r="C624" s="8" t="str">
        <x:v>待拆解(null)</x:v>
      </x:c>
      <x:c r="D624" s="8" t="str">
        <x:v>早期争议复核导出.user_type</x:v>
      </x:c>
      <x:c r="E624" s="8" t="str">
        <x:v>复合／待定</x:v>
      </x:c>
      <x:c r="F624" s="8" t="str">
        <x:v>无法判断</x:v>
      </x:c>
      <x:c r="G624" s="8" t="n">
        <x:v>0</x:v>
      </x:c>
      <x:c r="H624" s="8" t="n">
        <x:v>0</x:v>
      </x:c>
      <x:c r="I624" s="8" t="n">
        <x:v>26</x:v>
      </x:c>
      <x:c r="J624" s="8" t="n">
        <x:v>0</x:v>
      </x:c>
      <x:c r="K624" s="8" t="str">
        <x:v>["G207"]</x:v>
      </x:c>
      <x:c r="L624" s="8" t="str">
        <x:v>https://github.com/Sparkling-Flames/3D_Manhattan_label/blob/844a4694627e1eacc6bfb48911897335e48ecc17/data/mp3d_layout/test/img/wc2JMjhGNzB_77962388887942148ee65c2892600e02.png</x:v>
      </x:c>
      <x:c r="M624" s="8" t="str">
        <x:v>wc2JMjhGNzB_77962388887942148ee65c2892600e02</x:v>
      </x:c>
    </x:row>
    <x:row r="625" ht="44" customHeight="1">
      <x:c r="A625" s="8" t="str">
        <x:v>wc2JMjhGNzB</x:v>
      </x:c>
      <x:c r="B625" s="8" t="n">
        <x:v>41</x:v>
      </x:c>
      <x:c r="C625" s="8" t="str">
        <x:v>通行与连接</x:v>
      </x:c>
      <x:c r="D625" s="8" t="str">
        <x:v>早期争议复核导出.user_type</x:v>
      </x:c>
      <x:c r="E625" s="8" t="str">
        <x:v>通行与连接</x:v>
      </x:c>
      <x:c r="F625" s="8" t="str">
        <x:v>厨房与用餐</x:v>
      </x:c>
      <x:c r="G625" s="8" t="n">
        <x:v>0</x:v>
      </x:c>
      <x:c r="H625" s="8" t="n">
        <x:v>0</x:v>
      </x:c>
      <x:c r="I625" s="8" t="n">
        <x:v>0</x:v>
      </x:c>
      <x:c r="J625" s="8" t="n">
        <x:v>19</x:v>
      </x:c>
      <x:c r="K625" s="8" t="str">
        <x:v>["G214"]</x:v>
      </x:c>
      <x:c r="L625" s="8" t="str">
        <x:v>https://github.com/Sparkling-Flames/3D_Manhattan_label/blob/844a4694627e1eacc6bfb48911897335e48ecc17/data/mp3d_layout/test/img/wc2JMjhGNzB_7a57d2299f5f4f7a9769f200d21ed9ed.png</x:v>
      </x:c>
      <x:c r="M625" s="8" t="str">
        <x:v>wc2JMjhGNzB_7a57d2299f5f4f7a9769f200d21ed9ed</x:v>
      </x:c>
    </x:row>
    <x:row r="626" ht="44" customHeight="1">
      <x:c r="A626" s="8" t="str">
        <x:v>wc2JMjhGNzB</x:v>
      </x:c>
      <x:c r="B626" s="8" t="n">
        <x:v>42</x:v>
      </x:c>
      <x:c r="C626" s="8" t="str">
        <x:v>储藏与家务辅助</x:v>
      </x:c>
      <x:c r="D626" s="8" t="str">
        <x:v>后续41图亲审.current_classification.coarse_type</x:v>
      </x:c>
      <x:c r="E626" s="8" t="str">
        <x:v>储藏与家务辅助</x:v>
      </x:c>
      <x:c r="F626" s="8" t="str">
        <x:v>储藏与家务辅助</x:v>
      </x:c>
      <x:c r="G626" s="8" t="n">
        <x:v>0</x:v>
      </x:c>
      <x:c r="H626" s="8" t="n">
        <x:v>0</x:v>
      </x:c>
      <x:c r="I626" s="8" t="n">
        <x:v>0</x:v>
      </x:c>
      <x:c r="J626" s="8" t="n">
        <x:v>19</x:v>
      </x:c>
      <x:c r="K626" s="8" t="str">
        <x:v>["G218"]</x:v>
      </x:c>
      <x:c r="L626" s="8" t="str">
        <x:v>https://github.com/Sparkling-Flames/3D_Manhattan_label/blob/844a4694627e1eacc6bfb48911897335e48ecc17/data/mp3d_layout/test/img/wc2JMjhGNzB_7d90b6268a79425cb15a26ef91d68c96.png</x:v>
      </x:c>
      <x:c r="M626" s="8" t="str">
        <x:v>wc2JMjhGNzB_7d90b6268a79425cb15a26ef91d68c96</x:v>
      </x:c>
    </x:row>
    <x:row r="627" ht="44" customHeight="1">
      <x:c r="A627" s="8" t="str">
        <x:v>wc2JMjhGNzB</x:v>
      </x:c>
      <x:c r="B627" s="8" t="n">
        <x:v>43</x:v>
      </x:c>
      <x:c r="C627" s="8" t="str">
        <x:v>通行与连接</x:v>
      </x:c>
      <x:c r="D627" s="8" t="str">
        <x:v>早期争议复核导出.user_type</x:v>
      </x:c>
      <x:c r="E627" s="8" t="str">
        <x:v>通行与连接</x:v>
      </x:c>
      <x:c r="F627" s="8" t="str">
        <x:v>通行与连接</x:v>
      </x:c>
      <x:c r="G627" s="8" t="n">
        <x:v>0</x:v>
      </x:c>
      <x:c r="H627" s="8" t="n">
        <x:v>0</x:v>
      </x:c>
      <x:c r="I627" s="8" t="n">
        <x:v>0</x:v>
      </x:c>
      <x:c r="J627" s="8" t="n">
        <x:v>19</x:v>
      </x:c>
      <x:c r="K627" s="8" t="str">
        <x:v>["G227"]</x:v>
      </x:c>
      <x:c r="L627" s="8" t="str">
        <x:v>https://github.com/Sparkling-Flames/3D_Manhattan_label/blob/844a4694627e1eacc6bfb48911897335e48ecc17/data/mp3d_layout/test/img/wc2JMjhGNzB_818104cf87d045a18b4bf134ef76ec41.png</x:v>
      </x:c>
      <x:c r="M627" s="8" t="str">
        <x:v>wc2JMjhGNzB_818104cf87d045a18b4bf134ef76ec41</x:v>
      </x:c>
    </x:row>
    <x:row r="628" ht="44" customHeight="1">
      <x:c r="A628" s="8" t="str">
        <x:v>wc2JMjhGNzB</x:v>
      </x:c>
      <x:c r="B628" s="8" t="n">
        <x:v>44</x:v>
      </x:c>
      <x:c r="C628" s="8" t="str">
        <x:v>起居与休闲</x:v>
      </x:c>
      <x:c r="D628" s="8" t="str">
        <x:v>早期争议复核导出.user_type</x:v>
      </x:c>
      <x:c r="E628" s="8" t="str">
        <x:v>起居与休闲</x:v>
      </x:c>
      <x:c r="F628" s="8" t="str">
        <x:v>起居与休闲</x:v>
      </x:c>
      <x:c r="G628" s="8" t="n">
        <x:v>0</x:v>
      </x:c>
      <x:c r="H628" s="8" t="n">
        <x:v>0</x:v>
      </x:c>
      <x:c r="I628" s="8" t="n">
        <x:v>0</x:v>
      </x:c>
      <x:c r="J628" s="8" t="n">
        <x:v>19</x:v>
      </x:c>
      <x:c r="K628" s="8" t="str">
        <x:v>["G211"]</x:v>
      </x:c>
      <x:c r="L628" s="8" t="str">
        <x:v>https://github.com/Sparkling-Flames/3D_Manhattan_label/blob/844a4694627e1eacc6bfb48911897335e48ecc17/data/mp3d_layout/test/img/wc2JMjhGNzB_872459df29ef4f158108fbfcb3225090.png</x:v>
      </x:c>
      <x:c r="M628" s="8" t="str">
        <x:v>wc2JMjhGNzB_872459df29ef4f158108fbfcb3225090</x:v>
      </x:c>
    </x:row>
    <x:row r="629" ht="44" customHeight="1">
      <x:c r="A629" s="8" t="str">
        <x:v>wc2JMjhGNzB</x:v>
      </x:c>
      <x:c r="B629" s="8" t="n">
        <x:v>45</x:v>
      </x:c>
      <x:c r="C629" s="8" t="str">
        <x:v>无法判断</x:v>
      </x:c>
      <x:c r="D629" s="8" t="str">
        <x:v>后续41图亲审.current_classification.coarse_type</x:v>
      </x:c>
      <x:c r="E629" s="8" t="str">
        <x:v>复合／待定</x:v>
      </x:c>
      <x:c r="F629" s="8" t="str">
        <x:v>无法判断</x:v>
      </x:c>
      <x:c r="G629" s="8" t="n">
        <x:v>0</x:v>
      </x:c>
      <x:c r="H629" s="8" t="n">
        <x:v>0</x:v>
      </x:c>
      <x:c r="I629" s="8" t="n">
        <x:v>0</x:v>
      </x:c>
      <x:c r="J629" s="8" t="n">
        <x:v>19</x:v>
      </x:c>
      <x:c r="K629" s="8" t="str">
        <x:v>["G207"]</x:v>
      </x:c>
      <x:c r="L629" s="8" t="str">
        <x:v>https://github.com/Sparkling-Flames/3D_Manhattan_label/blob/844a4694627e1eacc6bfb48911897335e48ecc17/data/mp3d_layout/test/img/wc2JMjhGNzB_8e093e32e55c4a5dbf453b5e2bf2b24c.png</x:v>
      </x:c>
      <x:c r="M629" s="8" t="str">
        <x:v>wc2JMjhGNzB_8e093e32e55c4a5dbf453b5e2bf2b24c</x:v>
      </x:c>
    </x:row>
    <x:row r="630" ht="44" customHeight="1">
      <x:c r="A630" s="8" t="str">
        <x:v>wc2JMjhGNzB</x:v>
      </x:c>
      <x:c r="B630" s="8" t="n">
        <x:v>46</x:v>
      </x:c>
      <x:c r="C630" s="8" t="str">
        <x:v>无法判断</x:v>
      </x:c>
      <x:c r="D630" s="8" t="str">
        <x:v>后续41图亲审.current_classification.coarse_type</x:v>
      </x:c>
      <x:c r="E630" s="8" t="str">
        <x:v>复合／待定</x:v>
      </x:c>
      <x:c r="F630" s="8" t="str">
        <x:v>无法判断</x:v>
      </x:c>
      <x:c r="G630" s="8" t="n">
        <x:v>7</x:v>
      </x:c>
      <x:c r="H630" s="8" t="n">
        <x:v>6</x:v>
      </x:c>
      <x:c r="I630" s="8" t="n">
        <x:v>5</x:v>
      </x:c>
      <x:c r="J630" s="8" t="n">
        <x:v>11</x:v>
      </x:c>
      <x:c r="K630" s="8" t="str">
        <x:v>["G209"]</x:v>
      </x:c>
      <x:c r="L630" s="8" t="str">
        <x:v>https://github.com/Sparkling-Flames/3D_Manhattan_label/blob/844a4694627e1eacc6bfb48911897335e48ecc17/data/mp3d_layout/test/img/wc2JMjhGNzB_9087f0358178420a8b9ac7b17a8919c7.png</x:v>
      </x:c>
      <x:c r="M630" s="8" t="str">
        <x:v>wc2JMjhGNzB_9087f0358178420a8b9ac7b17a8919c7</x:v>
      </x:c>
    </x:row>
    <x:row r="631" ht="44" customHeight="1">
      <x:c r="A631" s="8" t="str">
        <x:v>wc2JMjhGNzB</x:v>
      </x:c>
      <x:c r="B631" s="8" t="n">
        <x:v>47</x:v>
      </x:c>
      <x:c r="C631" s="8" t="str">
        <x:v>起居与休闲</x:v>
      </x:c>
      <x:c r="D631" s="8" t="str">
        <x:v>早期争议复核导出.user_type</x:v>
      </x:c>
      <x:c r="E631" s="8" t="str">
        <x:v>起居与休闲</x:v>
      </x:c>
      <x:c r="F631" s="8" t="str">
        <x:v>起居与休闲</x:v>
      </x:c>
      <x:c r="G631" s="8" t="n">
        <x:v>0</x:v>
      </x:c>
      <x:c r="H631" s="8" t="n">
        <x:v>0</x:v>
      </x:c>
      <x:c r="I631" s="8" t="n">
        <x:v>0</x:v>
      </x:c>
      <x:c r="J631" s="8" t="n">
        <x:v>19</x:v>
      </x:c>
      <x:c r="K631" s="8" t="str">
        <x:v>["G216", "G220", "G225"]</x:v>
      </x:c>
      <x:c r="L631" s="8" t="str">
        <x:v>https://github.com/Sparkling-Flames/3D_Manhattan_label/blob/844a4694627e1eacc6bfb48911897335e48ecc17/data/mp3d_layout/test/img/wc2JMjhGNzB_964c4d82ac6c428bb3dc3325ad8c7ec9.png</x:v>
      </x:c>
      <x:c r="M631" s="8" t="str">
        <x:v>wc2JMjhGNzB_964c4d82ac6c428bb3dc3325ad8c7ec9</x:v>
      </x:c>
    </x:row>
    <x:row r="632" ht="44" customHeight="1">
      <x:c r="A632" s="8" t="str">
        <x:v>wc2JMjhGNzB</x:v>
      </x:c>
      <x:c r="B632" s="8" t="n">
        <x:v>48</x:v>
      </x:c>
      <x:c r="C632" s="8" t="str">
        <x:v>通行与连接</x:v>
      </x:c>
      <x:c r="D632" s="8" t="str">
        <x:v>早期争议复核导出.user_type</x:v>
      </x:c>
      <x:c r="E632" s="8" t="str">
        <x:v>通行与连接</x:v>
      </x:c>
      <x:c r="F632" s="8" t="str">
        <x:v>通行与连接</x:v>
      </x:c>
      <x:c r="G632" s="8" t="n">
        <x:v>0</x:v>
      </x:c>
      <x:c r="H632" s="8" t="n">
        <x:v>0</x:v>
      </x:c>
      <x:c r="I632" s="8" t="n">
        <x:v>0</x:v>
      </x:c>
      <x:c r="J632" s="8" t="n">
        <x:v>19</x:v>
      </x:c>
      <x:c r="K632" s="8" t="str">
        <x:v>["G213", "G228"]</x:v>
      </x:c>
      <x:c r="L632" s="8" t="str">
        <x:v>https://github.com/Sparkling-Flames/3D_Manhattan_label/blob/844a4694627e1eacc6bfb48911897335e48ecc17/data/mp3d_layout/test/img/wc2JMjhGNzB_99bcf51aef0947b6898bb8114219d730.png</x:v>
      </x:c>
      <x:c r="M632" s="8" t="str">
        <x:v>wc2JMjhGNzB_99bcf51aef0947b6898bb8114219d730</x:v>
      </x:c>
    </x:row>
    <x:row r="633" ht="44" customHeight="1">
      <x:c r="A633" s="8" t="str">
        <x:v>wc2JMjhGNzB</x:v>
      </x:c>
      <x:c r="B633" s="8" t="n">
        <x:v>49</x:v>
      </x:c>
      <x:c r="C633" s="8" t="str">
        <x:v>卫浴</x:v>
      </x:c>
      <x:c r="D633" s="8" t="str">
        <x:v>早期争议复核导出.user_type</x:v>
      </x:c>
      <x:c r="E633" s="8" t="str">
        <x:v>卫浴</x:v>
      </x:c>
      <x:c r="F633" s="8" t="str">
        <x:v>卫浴</x:v>
      </x:c>
      <x:c r="G633" s="8" t="n">
        <x:v>0</x:v>
      </x:c>
      <x:c r="H633" s="8" t="n">
        <x:v>0</x:v>
      </x:c>
      <x:c r="I633" s="8" t="n">
        <x:v>0</x:v>
      </x:c>
      <x:c r="J633" s="8" t="n">
        <x:v>19</x:v>
      </x:c>
      <x:c r="K633" s="8" t="str">
        <x:v>["G229"]</x:v>
      </x:c>
      <x:c r="L633" s="8" t="str">
        <x:v>https://github.com/Sparkling-Flames/3D_Manhattan_label/blob/844a4694627e1eacc6bfb48911897335e48ecc17/data/mp3d_layout/test/img/wc2JMjhGNzB_9d8a625f48194382a0bfb748b1126069.png</x:v>
      </x:c>
      <x:c r="M633" s="8" t="str">
        <x:v>wc2JMjhGNzB_9d8a625f48194382a0bfb748b1126069</x:v>
      </x:c>
    </x:row>
    <x:row r="634" ht="44" customHeight="1">
      <x:c r="A634" s="8" t="str">
        <x:v>wc2JMjhGNzB</x:v>
      </x:c>
      <x:c r="B634" s="8" t="n">
        <x:v>50</x:v>
      </x:c>
      <x:c r="C634" s="8" t="str">
        <x:v>通行与连接</x:v>
      </x:c>
      <x:c r="D634" s="8" t="str">
        <x:v>早期争议复核导出.user_type</x:v>
      </x:c>
      <x:c r="E634" s="8" t="str">
        <x:v>通行与连接</x:v>
      </x:c>
      <x:c r="F634" s="8" t="str">
        <x:v>通行与连接</x:v>
      </x:c>
      <x:c r="G634" s="8" t="n">
        <x:v>0</x:v>
      </x:c>
      <x:c r="H634" s="8" t="n">
        <x:v>0</x:v>
      </x:c>
      <x:c r="I634" s="8" t="n">
        <x:v>0</x:v>
      </x:c>
      <x:c r="J634" s="8" t="n">
        <x:v>19</x:v>
      </x:c>
      <x:c r="K634" s="8" t="str">
        <x:v>["G228"]</x:v>
      </x:c>
      <x:c r="L634" s="8" t="str">
        <x:v>https://github.com/Sparkling-Flames/3D_Manhattan_label/blob/844a4694627e1eacc6bfb48911897335e48ecc17/data/mp3d_layout/test/img/wc2JMjhGNzB_a4188bbbe166473bb2ecf35bdcbec1f9.png</x:v>
      </x:c>
      <x:c r="M634" s="8" t="str">
        <x:v>wc2JMjhGNzB_a4188bbbe166473bb2ecf35bdcbec1f9</x:v>
      </x:c>
    </x:row>
    <x:row r="635" ht="44" customHeight="1">
      <x:c r="A635" s="8" t="str">
        <x:v>wc2JMjhGNzB</x:v>
      </x:c>
      <x:c r="B635" s="8" t="n">
        <x:v>51</x:v>
      </x:c>
      <x:c r="C635" s="8" t="str">
        <x:v>卫浴</x:v>
      </x:c>
      <x:c r="D635" s="8" t="str">
        <x:v>早期争议复核导出.user_type</x:v>
      </x:c>
      <x:c r="E635" s="8" t="str">
        <x:v>卫浴</x:v>
      </x:c>
      <x:c r="F635" s="8" t="str">
        <x:v>卫浴</x:v>
      </x:c>
      <x:c r="G635" s="8" t="n">
        <x:v>0</x:v>
      </x:c>
      <x:c r="H635" s="8" t="n">
        <x:v>0</x:v>
      </x:c>
      <x:c r="I635" s="8" t="n">
        <x:v>0</x:v>
      </x:c>
      <x:c r="J635" s="8" t="n">
        <x:v>19</x:v>
      </x:c>
      <x:c r="K635" s="8" t="str">
        <x:v>["G202"]</x:v>
      </x:c>
      <x:c r="L635" s="8" t="str">
        <x:v>https://github.com/Sparkling-Flames/3D_Manhattan_label/blob/844a4694627e1eacc6bfb48911897335e48ecc17/data/mp3d_layout/test/img/wc2JMjhGNzB_aeb3199e10354e45a4884bb185c03257.png</x:v>
      </x:c>
      <x:c r="M635" s="8" t="str">
        <x:v>wc2JMjhGNzB_aeb3199e10354e45a4884bb185c03257</x:v>
      </x:c>
    </x:row>
    <x:row r="636" ht="44" customHeight="1">
      <x:c r="A636" s="8" t="str">
        <x:v>wc2JMjhGNzB</x:v>
      </x:c>
      <x:c r="B636" s="8" t="n">
        <x:v>52</x:v>
      </x:c>
      <x:c r="C636" s="8" t="str">
        <x:v>卫浴</x:v>
      </x:c>
      <x:c r="D636" s="8" t="str">
        <x:v>早期争议复核导出.user_type</x:v>
      </x:c>
      <x:c r="E636" s="8" t="str">
        <x:v>卫浴</x:v>
      </x:c>
      <x:c r="F636" s="8" t="str">
        <x:v>卫浴</x:v>
      </x:c>
      <x:c r="G636" s="8" t="n">
        <x:v>0</x:v>
      </x:c>
      <x:c r="H636" s="8" t="n">
        <x:v>0</x:v>
      </x:c>
      <x:c r="I636" s="8" t="n">
        <x:v>0</x:v>
      </x:c>
      <x:c r="J636" s="8" t="n">
        <x:v>19</x:v>
      </x:c>
      <x:c r="K636" s="8" t="str">
        <x:v>["G229"]</x:v>
      </x:c>
      <x:c r="L636" s="8" t="str">
        <x:v>https://github.com/Sparkling-Flames/3D_Manhattan_label/blob/844a4694627e1eacc6bfb48911897335e48ecc17/data/mp3d_layout/test/img/wc2JMjhGNzB_afdf0c43bc4f4daab702050ad1173e78.png</x:v>
      </x:c>
      <x:c r="M636" s="8" t="str">
        <x:v>wc2JMjhGNzB_afdf0c43bc4f4daab702050ad1173e78</x:v>
      </x:c>
    </x:row>
    <x:row r="637" ht="44" customHeight="1">
      <x:c r="A637" s="8" t="str">
        <x:v>wc2JMjhGNzB</x:v>
      </x:c>
      <x:c r="B637" s="8" t="n">
        <x:v>53</x:v>
      </x:c>
      <x:c r="C637" s="8" t="str">
        <x:v>卫浴</x:v>
      </x:c>
      <x:c r="D637" s="8" t="str">
        <x:v>早期争议复核导出.user_type</x:v>
      </x:c>
      <x:c r="E637" s="8" t="str">
        <x:v>卫浴</x:v>
      </x:c>
      <x:c r="F637" s="8" t="str">
        <x:v>卫浴</x:v>
      </x:c>
      <x:c r="G637" s="8" t="n">
        <x:v>23</x:v>
      </x:c>
      <x:c r="H637" s="8" t="n">
        <x:v>19</x:v>
      </x:c>
      <x:c r="I637" s="8" t="n">
        <x:v>0</x:v>
      </x:c>
      <x:c r="J637" s="8" t="n">
        <x:v>0</x:v>
      </x:c>
      <x:c r="K637" s="8" t="str">
        <x:v>["G202"]</x:v>
      </x:c>
      <x:c r="L637" s="8" t="str">
        <x:v>https://github.com/Sparkling-Flames/3D_Manhattan_label/blob/844a4694627e1eacc6bfb48911897335e48ecc17/data/mp3d_layout/test/img/wc2JMjhGNzB_b41b10699d614f24851b56a9a0e743c6.png</x:v>
      </x:c>
      <x:c r="M637" s="8" t="str">
        <x:v>wc2JMjhGNzB_b41b10699d614f24851b56a9a0e743c6</x:v>
      </x:c>
    </x:row>
    <x:row r="638" ht="44" customHeight="1">
      <x:c r="A638" s="8" t="str">
        <x:v>wc2JMjhGNzB</x:v>
      </x:c>
      <x:c r="B638" s="8" t="n">
        <x:v>54</x:v>
      </x:c>
      <x:c r="C638" s="8" t="str">
        <x:v>卧室</x:v>
      </x:c>
      <x:c r="D638" s="8" t="str">
        <x:v>早期争议复核导出.user_type</x:v>
      </x:c>
      <x:c r="E638" s="8" t="str">
        <x:v>卧室</x:v>
      </x:c>
      <x:c r="F638" s="8" t="str">
        <x:v>卧室</x:v>
      </x:c>
      <x:c r="G638" s="8" t="n">
        <x:v>5</x:v>
      </x:c>
      <x:c r="H638" s="8" t="n">
        <x:v>5</x:v>
      </x:c>
      <x:c r="I638" s="8" t="n">
        <x:v>4</x:v>
      </x:c>
      <x:c r="J638" s="8" t="n">
        <x:v>11</x:v>
      </x:c>
      <x:c r="K638" s="8" t="str">
        <x:v>["G205"]</x:v>
      </x:c>
      <x:c r="L638" s="8" t="str">
        <x:v>https://github.com/Sparkling-Flames/3D_Manhattan_label/blob/844a4694627e1eacc6bfb48911897335e48ecc17/data/mp3d_layout/test/img/wc2JMjhGNzB_c7c84bf01a834489ad11d8450a7dc2bc.png</x:v>
      </x:c>
      <x:c r="M638" s="8" t="str">
        <x:v>wc2JMjhGNzB_c7c84bf01a834489ad11d8450a7dc2bc</x:v>
      </x:c>
    </x:row>
    <x:row r="639" ht="44" customHeight="1">
      <x:c r="A639" s="8" t="str">
        <x:v>wc2JMjhGNzB</x:v>
      </x:c>
      <x:c r="B639" s="8" t="n">
        <x:v>55</x:v>
      </x:c>
      <x:c r="C639" s="8" t="str">
        <x:v>起居与休闲</x:v>
      </x:c>
      <x:c r="D639" s="8" t="str">
        <x:v>早期争议复核导出.user_type</x:v>
      </x:c>
      <x:c r="E639" s="8" t="str">
        <x:v>起居与休闲</x:v>
      </x:c>
      <x:c r="F639" s="8" t="str">
        <x:v>起居与休闲</x:v>
      </x:c>
      <x:c r="G639" s="8" t="n">
        <x:v>0</x:v>
      </x:c>
      <x:c r="H639" s="8" t="n">
        <x:v>0</x:v>
      </x:c>
      <x:c r="I639" s="8" t="n">
        <x:v>0</x:v>
      </x:c>
      <x:c r="J639" s="8" t="n">
        <x:v>19</x:v>
      </x:c>
      <x:c r="K639" s="8" t="str">
        <x:v>["G225"]</x:v>
      </x:c>
      <x:c r="L639" s="8" t="str">
        <x:v>https://github.com/Sparkling-Flames/3D_Manhattan_label/blob/844a4694627e1eacc6bfb48911897335e48ecc17/data/mp3d_layout/test/img/wc2JMjhGNzB_c7e4c175f9b347cf9256fa7e291f26d9.png</x:v>
      </x:c>
      <x:c r="M639" s="8" t="str">
        <x:v>wc2JMjhGNzB_c7e4c175f9b347cf9256fa7e291f26d9</x:v>
      </x:c>
    </x:row>
    <x:row r="640" ht="44" customHeight="1">
      <x:c r="A640" s="8" t="str">
        <x:v>wc2JMjhGNzB</x:v>
      </x:c>
      <x:c r="B640" s="8" t="n">
        <x:v>56</x:v>
      </x:c>
      <x:c r="C640" s="8" t="str">
        <x:v>厨房与用餐</x:v>
      </x:c>
      <x:c r="D640" s="8" t="str">
        <x:v>早期争议复核导出.user_type</x:v>
      </x:c>
      <x:c r="E640" s="8" t="str">
        <x:v>厨房与用餐</x:v>
      </x:c>
      <x:c r="F640" s="8" t="str">
        <x:v>厨房与用餐</x:v>
      </x:c>
      <x:c r="G640" s="8" t="n">
        <x:v>0</x:v>
      </x:c>
      <x:c r="H640" s="8" t="n">
        <x:v>0</x:v>
      </x:c>
      <x:c r="I640" s="8" t="n">
        <x:v>26</x:v>
      </x:c>
      <x:c r="J640" s="8" t="n">
        <x:v>0</x:v>
      </x:c>
      <x:c r="K640" s="8" t="str">
        <x:v>["G214"]</x:v>
      </x:c>
      <x:c r="L640" s="8" t="str">
        <x:v>https://github.com/Sparkling-Flames/3D_Manhattan_label/blob/844a4694627e1eacc6bfb48911897335e48ecc17/data/mp3d_layout/test/img/wc2JMjhGNzB_cae8fb3d40314ecea16654062030571b.png</x:v>
      </x:c>
      <x:c r="M640" s="8" t="str">
        <x:v>wc2JMjhGNzB_cae8fb3d40314ecea16654062030571b</x:v>
      </x:c>
    </x:row>
    <x:row r="641" ht="44" customHeight="1">
      <x:c r="A641" s="8" t="str">
        <x:v>wc2JMjhGNzB</x:v>
      </x:c>
      <x:c r="B641" s="8" t="n">
        <x:v>57</x:v>
      </x:c>
      <x:c r="C641" s="8" t="str">
        <x:v>卧室</x:v>
      </x:c>
      <x:c r="D641" s="8" t="str">
        <x:v>后续41图亲审.current_classification.coarse_type</x:v>
      </x:c>
      <x:c r="E641" s="8" t="str">
        <x:v>卧室</x:v>
      </x:c>
      <x:c r="F641" s="8" t="str">
        <x:v>卧室</x:v>
      </x:c>
      <x:c r="G641" s="8" t="n">
        <x:v>0</x:v>
      </x:c>
      <x:c r="H641" s="8" t="n">
        <x:v>0</x:v>
      </x:c>
      <x:c r="I641" s="8" t="n">
        <x:v>0</x:v>
      </x:c>
      <x:c r="J641" s="8" t="n">
        <x:v>19</x:v>
      </x:c>
      <x:c r="K641" s="8" t="str">
        <x:v>["G222"]</x:v>
      </x:c>
      <x:c r="L641" s="8" t="str">
        <x:v>https://github.com/Sparkling-Flames/3D_Manhattan_label/blob/844a4694627e1eacc6bfb48911897335e48ecc17/data/mp3d_layout/test/img/wc2JMjhGNzB_d5138c0f63414e1fb5147c9436968940.png</x:v>
      </x:c>
      <x:c r="M641" s="8" t="str">
        <x:v>wc2JMjhGNzB_d5138c0f63414e1fb5147c9436968940</x:v>
      </x:c>
    </x:row>
    <x:row r="642" ht="44" customHeight="1">
      <x:c r="A642" s="8" t="str">
        <x:v>wc2JMjhGNzB</x:v>
      </x:c>
      <x:c r="B642" s="8" t="n">
        <x:v>58</x:v>
      </x:c>
      <x:c r="C642" s="8" t="str">
        <x:v>卫浴</x:v>
      </x:c>
      <x:c r="D642" s="8" t="str">
        <x:v>早期争议复核导出.user_type</x:v>
      </x:c>
      <x:c r="E642" s="8" t="str">
        <x:v>卫浴</x:v>
      </x:c>
      <x:c r="F642" s="8" t="str">
        <x:v>卫浴</x:v>
      </x:c>
      <x:c r="G642" s="8" t="n">
        <x:v>0</x:v>
      </x:c>
      <x:c r="H642" s="8" t="n">
        <x:v>0</x:v>
      </x:c>
      <x:c r="I642" s="8" t="n">
        <x:v>0</x:v>
      </x:c>
      <x:c r="J642" s="8" t="n">
        <x:v>19</x:v>
      </x:c>
      <x:c r="K642" s="8" t="str">
        <x:v>["G226", "G230"]</x:v>
      </x:c>
      <x:c r="L642" s="8" t="str">
        <x:v>https://github.com/Sparkling-Flames/3D_Manhattan_label/blob/844a4694627e1eacc6bfb48911897335e48ecc17/data/mp3d_layout/test/img/wc2JMjhGNzB_d7230c164e814f9a83244ab2edc15334.png</x:v>
      </x:c>
      <x:c r="M642" s="8" t="str">
        <x:v>wc2JMjhGNzB_d7230c164e814f9a83244ab2edc15334</x:v>
      </x:c>
    </x:row>
    <x:row r="643" ht="44" customHeight="1">
      <x:c r="A643" s="8" t="str">
        <x:v>wc2JMjhGNzB</x:v>
      </x:c>
      <x:c r="B643" s="8" t="n">
        <x:v>59</x:v>
      </x:c>
      <x:c r="C643" s="8" t="str">
        <x:v>卫浴</x:v>
      </x:c>
      <x:c r="D643" s="8" t="str">
        <x:v>早期争议复核导出.user_type</x:v>
      </x:c>
      <x:c r="E643" s="8" t="str">
        <x:v>卫浴</x:v>
      </x:c>
      <x:c r="F643" s="8" t="str">
        <x:v>卫浴</x:v>
      </x:c>
      <x:c r="G643" s="8" t="n">
        <x:v>25</x:v>
      </x:c>
      <x:c r="H643" s="8" t="n">
        <x:v>19</x:v>
      </x:c>
      <x:c r="I643" s="8" t="n">
        <x:v>0</x:v>
      </x:c>
      <x:c r="J643" s="8" t="n">
        <x:v>0</x:v>
      </x:c>
      <x:c r="K643" s="8" t="str">
        <x:v>["G230"]</x:v>
      </x:c>
      <x:c r="L643" s="8" t="str">
        <x:v>https://github.com/Sparkling-Flames/3D_Manhattan_label/blob/844a4694627e1eacc6bfb48911897335e48ecc17/data/mp3d_layout/test/img/wc2JMjhGNzB_dc4a9f470b834de1983c7e605ff06b2e.png</x:v>
      </x:c>
      <x:c r="M643" s="8" t="str">
        <x:v>wc2JMjhGNzB_dc4a9f470b834de1983c7e605ff06b2e</x:v>
      </x:c>
    </x:row>
    <x:row r="644" ht="44" customHeight="1">
      <x:c r="A644" s="8" t="str">
        <x:v>wc2JMjhGNzB</x:v>
      </x:c>
      <x:c r="B644" s="8" t="n">
        <x:v>60</x:v>
      </x:c>
      <x:c r="C644" s="8" t="str">
        <x:v>储藏与家务辅助</x:v>
      </x:c>
      <x:c r="D644" s="8" t="str">
        <x:v>早期争议复核导出.user_type</x:v>
      </x:c>
      <x:c r="E644" s="8" t="str">
        <x:v>储藏与家务辅助</x:v>
      </x:c>
      <x:c r="F644" s="8" t="str">
        <x:v>储藏与家务辅助</x:v>
      </x:c>
      <x:c r="G644" s="8" t="n">
        <x:v>23</x:v>
      </x:c>
      <x:c r="H644" s="8" t="n">
        <x:v>19</x:v>
      </x:c>
      <x:c r="I644" s="8" t="n">
        <x:v>0</x:v>
      </x:c>
      <x:c r="J644" s="8" t="n">
        <x:v>0</x:v>
      </x:c>
      <x:c r="K644" s="8" t="str">
        <x:v>["G217"]</x:v>
      </x:c>
      <x:c r="L644" s="8" t="str">
        <x:v>https://github.com/Sparkling-Flames/3D_Manhattan_label/blob/844a4694627e1eacc6bfb48911897335e48ecc17/data/mp3d_layout/test/img/wc2JMjhGNzB_dda6efcba51c40de8552408953719515.png</x:v>
      </x:c>
      <x:c r="M644" s="8" t="str">
        <x:v>wc2JMjhGNzB_dda6efcba51c40de8552408953719515</x:v>
      </x:c>
    </x:row>
    <x:row r="645" ht="44" customHeight="1">
      <x:c r="A645" s="8" t="str">
        <x:v>wc2JMjhGNzB</x:v>
      </x:c>
      <x:c r="B645" s="8" t="n">
        <x:v>61</x:v>
      </x:c>
      <x:c r="C645" s="8" t="str">
        <x:v>卧室</x:v>
      </x:c>
      <x:c r="D645" s="8" t="str">
        <x:v>早期争议复核导出.user_type</x:v>
      </x:c>
      <x:c r="E645" s="8" t="str">
        <x:v>卧室</x:v>
      </x:c>
      <x:c r="F645" s="8" t="str">
        <x:v>卧室</x:v>
      </x:c>
      <x:c r="G645" s="8" t="n">
        <x:v>0</x:v>
      </x:c>
      <x:c r="H645" s="8" t="n">
        <x:v>0</x:v>
      </x:c>
      <x:c r="I645" s="8" t="n">
        <x:v>0</x:v>
      </x:c>
      <x:c r="J645" s="8" t="n">
        <x:v>19</x:v>
      </x:c>
      <x:c r="K645" s="8" t="str">
        <x:v>["G205"]</x:v>
      </x:c>
      <x:c r="L645" s="8" t="str">
        <x:v>https://github.com/Sparkling-Flames/3D_Manhattan_label/blob/844a4694627e1eacc6bfb48911897335e48ecc17/data/mp3d_layout/test/img/wc2JMjhGNzB_e6693f97b36545f7a76e03c3fe32ba8c.png</x:v>
      </x:c>
      <x:c r="M645" s="8" t="str">
        <x:v>wc2JMjhGNzB_e6693f97b36545f7a76e03c3fe32ba8c</x:v>
      </x:c>
    </x:row>
    <x:row r="646" ht="44" customHeight="1">
      <x:c r="A646" s="8" t="str">
        <x:v>wc2JMjhGNzB</x:v>
      </x:c>
      <x:c r="B646" s="8" t="n">
        <x:v>62</x:v>
      </x:c>
      <x:c r="C646" s="8" t="str">
        <x:v>厨房与用餐</x:v>
      </x:c>
      <x:c r="D646" s="8" t="str">
        <x:v>早期争议复核导出.user_type</x:v>
      </x:c>
      <x:c r="E646" s="8" t="str">
        <x:v>厨房与用餐</x:v>
      </x:c>
      <x:c r="F646" s="8" t="str">
        <x:v>开放复合空间</x:v>
      </x:c>
      <x:c r="G646" s="8" t="n">
        <x:v>0</x:v>
      </x:c>
      <x:c r="H646" s="8" t="n">
        <x:v>0</x:v>
      </x:c>
      <x:c r="I646" s="8" t="n">
        <x:v>0</x:v>
      </x:c>
      <x:c r="J646" s="8" t="n">
        <x:v>19</x:v>
      </x:c>
      <x:c r="K646" s="8" t="str">
        <x:v>["G221"]</x:v>
      </x:c>
      <x:c r="L646" s="8" t="str">
        <x:v>https://github.com/Sparkling-Flames/3D_Manhattan_label/blob/844a4694627e1eacc6bfb48911897335e48ecc17/data/mp3d_layout/test/img/wc2JMjhGNzB_e7d38d204e374f6b8300c5a559a768e9.png</x:v>
      </x:c>
      <x:c r="M646" s="8" t="str">
        <x:v>wc2JMjhGNzB_e7d38d204e374f6b8300c5a559a768e9</x:v>
      </x:c>
    </x:row>
    <x:row r="647" ht="44" customHeight="1">
      <x:c r="A647" s="8" t="str">
        <x:v>wc2JMjhGNzB</x:v>
      </x:c>
      <x:c r="B647" s="8" t="n">
        <x:v>63</x:v>
      </x:c>
      <x:c r="C647" s="8" t="str">
        <x:v>起居与休闲</x:v>
      </x:c>
      <x:c r="D647" s="8" t="str">
        <x:v>早期争议复核导出.user_type</x:v>
      </x:c>
      <x:c r="E647" s="8" t="str">
        <x:v>起居与休闲</x:v>
      </x:c>
      <x:c r="F647" s="8" t="str">
        <x:v>起居与休闲</x:v>
      </x:c>
      <x:c r="G647" s="8" t="n">
        <x:v>0</x:v>
      </x:c>
      <x:c r="H647" s="8" t="n">
        <x:v>0</x:v>
      </x:c>
      <x:c r="I647" s="8" t="n">
        <x:v>0</x:v>
      </x:c>
      <x:c r="J647" s="8" t="n">
        <x:v>19</x:v>
      </x:c>
      <x:c r="K647" s="8" t="str">
        <x:v>["G225"]</x:v>
      </x:c>
      <x:c r="L647" s="8" t="str">
        <x:v>https://github.com/Sparkling-Flames/3D_Manhattan_label/blob/844a4694627e1eacc6bfb48911897335e48ecc17/data/mp3d_layout/test/img/wc2JMjhGNzB_e9899e516c784fe3b8e78354ba4d49c4.png</x:v>
      </x:c>
      <x:c r="M647" s="8" t="str">
        <x:v>wc2JMjhGNzB_e9899e516c784fe3b8e78354ba4d49c4</x:v>
      </x:c>
    </x:row>
    <x:row r="648" ht="44" customHeight="1">
      <x:c r="A648" s="8" t="str">
        <x:v>wc2JMjhGNzB</x:v>
      </x:c>
      <x:c r="B648" s="8" t="n">
        <x:v>64</x:v>
      </x:c>
      <x:c r="C648" s="8" t="str">
        <x:v>起居与休闲</x:v>
      </x:c>
      <x:c r="D648" s="8" t="str">
        <x:v>早期争议复核导出.user_type</x:v>
      </x:c>
      <x:c r="E648" s="8" t="str">
        <x:v>客厅</x:v>
      </x:c>
      <x:c r="F648" s="8" t="str">
        <x:v>工作与学习</x:v>
      </x:c>
      <x:c r="G648" s="8" t="n">
        <x:v>0</x:v>
      </x:c>
      <x:c r="H648" s="8" t="n">
        <x:v>0</x:v>
      </x:c>
      <x:c r="I648" s="8" t="n">
        <x:v>0</x:v>
      </x:c>
      <x:c r="J648" s="8" t="n">
        <x:v>19</x:v>
      </x:c>
      <x:c r="K648" s="8" t="str">
        <x:v>["G212"]</x:v>
      </x:c>
      <x:c r="L648" s="8" t="str">
        <x:v>https://github.com/Sparkling-Flames/3D_Manhattan_label/blob/844a4694627e1eacc6bfb48911897335e48ecc17/data/mp3d_layout/test/img/wc2JMjhGNzB_ea42bf32a1984ae399c9f96d9b62b635.png</x:v>
      </x:c>
      <x:c r="M648" s="8" t="str">
        <x:v>wc2JMjhGNzB_ea42bf32a1984ae399c9f96d9b62b635</x:v>
      </x:c>
    </x:row>
    <x:row r="649" ht="44" customHeight="1">
      <x:c r="A649" s="8" t="str">
        <x:v>wc2JMjhGNzB</x:v>
      </x:c>
      <x:c r="B649" s="8" t="n">
        <x:v>65</x:v>
      </x:c>
      <x:c r="C649" s="8" t="str">
        <x:v>卧室</x:v>
      </x:c>
      <x:c r="D649" s="8" t="str">
        <x:v>后续41图亲审.current_classification.coarse_type</x:v>
      </x:c>
      <x:c r="E649" s="8" t="str">
        <x:v>卧室</x:v>
      </x:c>
      <x:c r="F649" s="8" t="str">
        <x:v>卧室</x:v>
      </x:c>
      <x:c r="G649" s="8" t="n">
        <x:v>0</x:v>
      </x:c>
      <x:c r="H649" s="8" t="n">
        <x:v>0</x:v>
      </x:c>
      <x:c r="I649" s="8" t="n">
        <x:v>0</x:v>
      </x:c>
      <x:c r="J649" s="8" t="n">
        <x:v>19</x:v>
      </x:c>
      <x:c r="K649" s="8" t="str">
        <x:v>["G222"]</x:v>
      </x:c>
      <x:c r="L649" s="8" t="str">
        <x:v>https://github.com/Sparkling-Flames/3D_Manhattan_label/blob/844a4694627e1eacc6bfb48911897335e48ecc17/data/mp3d_layout/test/img/wc2JMjhGNzB_eae0ac9f6c5b4764a91c789f14a8c2eb.png</x:v>
      </x:c>
      <x:c r="M649" s="8" t="str">
        <x:v>wc2JMjhGNzB_eae0ac9f6c5b4764a91c789f14a8c2eb</x:v>
      </x:c>
    </x:row>
    <x:row r="650" ht="44" customHeight="1">
      <x:c r="A650" s="8" t="str">
        <x:v>wc2JMjhGNzB</x:v>
      </x:c>
      <x:c r="B650" s="8" t="n">
        <x:v>66</x:v>
      </x:c>
      <x:c r="C650" s="8" t="str">
        <x:v>通行与连接</x:v>
      </x:c>
      <x:c r="D650" s="8" t="str">
        <x:v>早期争议复核导出.user_type</x:v>
      </x:c>
      <x:c r="E650" s="8" t="str">
        <x:v>通行与连接</x:v>
      </x:c>
      <x:c r="F650" s="8" t="str">
        <x:v>通行与连接</x:v>
      </x:c>
      <x:c r="G650" s="8" t="n">
        <x:v>0</x:v>
      </x:c>
      <x:c r="H650" s="8" t="n">
        <x:v>0</x:v>
      </x:c>
      <x:c r="I650" s="8" t="n">
        <x:v>0</x:v>
      </x:c>
      <x:c r="J650" s="8" t="n">
        <x:v>19</x:v>
      </x:c>
      <x:c r="K650" s="8" t="str">
        <x:v>["G215"]</x:v>
      </x:c>
      <x:c r="L650" s="8" t="str">
        <x:v>https://github.com/Sparkling-Flames/3D_Manhattan_label/blob/844a4694627e1eacc6bfb48911897335e48ecc17/data/mp3d_layout/test/img/wc2JMjhGNzB_ebf624692bd6472ca94a297ffa1f4c05.png</x:v>
      </x:c>
      <x:c r="M650" s="8" t="str">
        <x:v>wc2JMjhGNzB_ebf624692bd6472ca94a297ffa1f4c05</x:v>
      </x:c>
    </x:row>
    <x:row r="651" ht="44" customHeight="1">
      <x:c r="A651" s="8" t="str">
        <x:v>wc2JMjhGNzB</x:v>
      </x:c>
      <x:c r="B651" s="8" t="n">
        <x:v>67</x:v>
      </x:c>
      <x:c r="C651" s="8" t="str">
        <x:v>通行与连接</x:v>
      </x:c>
      <x:c r="D651" s="8" t="str">
        <x:v>早期争议复核导出.user_type</x:v>
      </x:c>
      <x:c r="E651" s="8" t="str">
        <x:v>通行与连接</x:v>
      </x:c>
      <x:c r="F651" s="8" t="str">
        <x:v>通行与连接</x:v>
      </x:c>
      <x:c r="G651" s="8" t="n">
        <x:v>5</x:v>
      </x:c>
      <x:c r="H651" s="8" t="n">
        <x:v>4</x:v>
      </x:c>
      <x:c r="I651" s="8" t="n">
        <x:v>4</x:v>
      </x:c>
      <x:c r="J651" s="8" t="n">
        <x:v>11</x:v>
      </x:c>
      <x:c r="K651" s="8" t="str">
        <x:v>["G223"]</x:v>
      </x:c>
      <x:c r="L651" s="8" t="str">
        <x:v>https://github.com/Sparkling-Flames/3D_Manhattan_label/blob/844a4694627e1eacc6bfb48911897335e48ecc17/data/mp3d_layout/test/img/wc2JMjhGNzB_ec04ef10a0664e94878aa2d0f1720c2f.png</x:v>
      </x:c>
      <x:c r="M651" s="8" t="str">
        <x:v>wc2JMjhGNzB_ec04ef10a0664e94878aa2d0f1720c2f</x:v>
      </x:c>
    </x:row>
    <x:row r="652" ht="44" customHeight="1">
      <x:c r="A652" s="8" t="str">
        <x:v>wc2JMjhGNzB</x:v>
      </x:c>
      <x:c r="B652" s="8" t="n">
        <x:v>68</x:v>
      </x:c>
      <x:c r="C652" s="8" t="str">
        <x:v>通行与连接</x:v>
      </x:c>
      <x:c r="D652" s="8" t="str">
        <x:v>早期争议复核导出.user_type</x:v>
      </x:c>
      <x:c r="E652" s="8" t="str">
        <x:v>通行与连接</x:v>
      </x:c>
      <x:c r="F652" s="8" t="str">
        <x:v>通行与连接</x:v>
      </x:c>
      <x:c r="G652" s="8" t="n">
        <x:v>0</x:v>
      </x:c>
      <x:c r="H652" s="8" t="n">
        <x:v>0</x:v>
      </x:c>
      <x:c r="I652" s="8" t="n">
        <x:v>0</x:v>
      </x:c>
      <x:c r="J652" s="8" t="n">
        <x:v>19</x:v>
      </x:c>
      <x:c r="K652" s="8" t="str">
        <x:v>["G227"]</x:v>
      </x:c>
      <x:c r="L652" s="8" t="str">
        <x:v>https://github.com/Sparkling-Flames/3D_Manhattan_label/blob/844a4694627e1eacc6bfb48911897335e48ecc17/data/mp3d_layout/test/img/wc2JMjhGNzB_f741f370a16a403a8c758ff77be85a9c.png</x:v>
      </x:c>
      <x:c r="M652" s="8" t="str">
        <x:v>wc2JMjhGNzB_f741f370a16a403a8c758ff77be85a9c</x:v>
      </x:c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5d28fa77e66c4da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7" hidden="0" customWidth="1"/>
    <x:col min="3" max="3" width="26" hidden="0" customWidth="1"/>
    <x:col min="4" max="4" width="18" hidden="0" customWidth="1"/>
    <x:col min="5" max="5" width="18" hidden="0" customWidth="1"/>
    <x:col min="6" max="6" width="16" hidden="0" customWidth="1"/>
    <x:col min="7" max="7" width="17" hidden="0" customWidth="1"/>
    <x:col min="8" max="8" width="17" hidden="0" customWidth="1"/>
  </x:cols>
  <x:sheetData>
    <x:row r="1" ht="28" customHeight="1">
      <x:c r="A1" s="10" t="str">
        <x:v>元标签原始选择复核｜多选选项不可相加当人数</x:v>
      </x:c>
    </x:row>
    <x:row r="2">
      <x:c r="A2" t="str">
        <x:v>可用Manual 1887份：Scope/Difficulty均1887非空，Model Issue为0；Semi 574份：三个字段均574非空。</x:v>
      </x:c>
    </x:row>
    <x:row r="4" ht="34" customHeight="1">
      <x:c r="A4" s="4" t="str">
        <x:v>统计人群</x:v>
      </x:c>
      <x:c r="B4" s="4" t="str">
        <x:v>原字段</x:v>
      </x:c>
      <x:c r="C4" s="4" t="str">
        <x:v>原始选项</x:v>
      </x:c>
      <x:c r="D4" s="4" t="str">
        <x:v>该人群记录数</x:v>
      </x:c>
      <x:c r="E4" s="4" t="str">
        <x:v>字段非空记录数</x:v>
      </x:c>
      <x:c r="F4" s="4" t="str">
        <x:v>选项出现数</x:v>
      </x:c>
      <x:c r="G4" s="4" t="str">
        <x:v>占全部记录</x:v>
      </x:c>
      <x:c r="H4" s="4" t="str">
        <x:v>占非空记录</x:v>
      </x:c>
    </x:row>
    <x:row r="5" ht="44" customHeight="1">
      <x:c r="A5" s="8" t="str">
        <x:v>all_canonical</x:v>
      </x:c>
      <x:c r="B5" s="8" t="str">
        <x:v>difficulty</x:v>
      </x:c>
      <x:c r="C5" s="8" t="str">
        <x:v>trivial</x:v>
      </x:c>
      <x:c r="D5" s="8" t="n">
        <x:v>2501</x:v>
      </x:c>
      <x:c r="E5" s="8" t="n">
        <x:v>2500</x:v>
      </x:c>
      <x:c r="F5" s="8" t="n">
        <x:v>897</x:v>
      </x:c>
      <x:c r="G5" s="14" t="n">
        <x:f>F5/D5</x:f>
        <x:v>0.358656537385046</x:v>
      </x:c>
      <x:c r="H5" s="14" t="n">
        <x:f>IF(E5=0,0,F5/E5)</x:f>
        <x:v>0.3588</x:v>
      </x:c>
    </x:row>
    <x:row r="6" ht="44" customHeight="1">
      <x:c r="A6" s="8" t="str">
        <x:v>all_canonical</x:v>
      </x:c>
      <x:c r="B6" s="8" t="str">
        <x:v>difficulty</x:v>
      </x:c>
      <x:c r="C6" s="8" t="str">
        <x:v>low_texture</x:v>
      </x:c>
      <x:c r="D6" s="8" t="n">
        <x:v>2501</x:v>
      </x:c>
      <x:c r="E6" s="8" t="n">
        <x:v>2500</x:v>
      </x:c>
      <x:c r="F6" s="8" t="n">
        <x:v>215</x:v>
      </x:c>
      <x:c r="G6" s="14" t="n">
        <x:f>F6/D6</x:f>
        <x:v>0.0859656137544982</x:v>
      </x:c>
      <x:c r="H6" s="14" t="n">
        <x:f>IF(E6=0,0,F6/E6)</x:f>
        <x:v>0.086</x:v>
      </x:c>
    </x:row>
    <x:row r="7" ht="44" customHeight="1">
      <x:c r="A7" s="8" t="str">
        <x:v>all_canonical</x:v>
      </x:c>
      <x:c r="B7" s="8" t="str">
        <x:v>difficulty</x:v>
      </x:c>
      <x:c r="C7" s="8" t="str">
        <x:v>occlusion</x:v>
      </x:c>
      <x:c r="D7" s="8" t="n">
        <x:v>2501</x:v>
      </x:c>
      <x:c r="E7" s="8" t="n">
        <x:v>2500</x:v>
      </x:c>
      <x:c r="F7" s="8" t="n">
        <x:v>1298</x:v>
      </x:c>
      <x:c r="G7" s="14" t="n">
        <x:f>F7/D7</x:f>
        <x:v>0.5189924030387845</x:v>
      </x:c>
      <x:c r="H7" s="14" t="n">
        <x:f>IF(E7=0,0,F7/E7)</x:f>
        <x:v>0.5192</x:v>
      </x:c>
    </x:row>
    <x:row r="8" ht="44" customHeight="1">
      <x:c r="A8" s="8" t="str">
        <x:v>all_canonical</x:v>
      </x:c>
      <x:c r="B8" s="8" t="str">
        <x:v>difficulty</x:v>
      </x:c>
      <x:c r="C8" s="8" t="str">
        <x:v>seam</x:v>
      </x:c>
      <x:c r="D8" s="8" t="n">
        <x:v>2501</x:v>
      </x:c>
      <x:c r="E8" s="8" t="n">
        <x:v>2500</x:v>
      </x:c>
      <x:c r="F8" s="8" t="n">
        <x:v>264</x:v>
      </x:c>
      <x:c r="G8" s="14" t="n">
        <x:f>F8/D8</x:f>
        <x:v>0.10555777688924431</x:v>
      </x:c>
      <x:c r="H8" s="14" t="n">
        <x:f>IF(E8=0,0,F8/E8)</x:f>
        <x:v>0.1056</x:v>
      </x:c>
    </x:row>
    <x:row r="9" ht="44" customHeight="1">
      <x:c r="A9" s="8" t="str">
        <x:v>all_canonical</x:v>
      </x:c>
      <x:c r="B9" s="8" t="str">
        <x:v>difficulty</x:v>
      </x:c>
      <x:c r="C9" s="8" t="str">
        <x:v>low_quality</x:v>
      </x:c>
      <x:c r="D9" s="8" t="n">
        <x:v>2501</x:v>
      </x:c>
      <x:c r="E9" s="8" t="n">
        <x:v>2500</x:v>
      </x:c>
      <x:c r="F9" s="8" t="n">
        <x:v>125</x:v>
      </x:c>
      <x:c r="G9" s="14" t="n">
        <x:f>F9/D9</x:f>
        <x:v>0.04998000799680128</x:v>
      </x:c>
      <x:c r="H9" s="14" t="n">
        <x:f>IF(E9=0,0,F9/E9)</x:f>
        <x:v>0.05</x:v>
      </x:c>
    </x:row>
    <x:row r="10" ht="44" customHeight="1">
      <x:c r="A10" s="8" t="str">
        <x:v>all_canonical</x:v>
      </x:c>
      <x:c r="B10" s="8" t="str">
        <x:v>difficulty</x:v>
      </x:c>
      <x:c r="C10" s="8" t="str">
        <x:v>reflection</x:v>
      </x:c>
      <x:c r="D10" s="8" t="n">
        <x:v>2501</x:v>
      </x:c>
      <x:c r="E10" s="8" t="n">
        <x:v>2500</x:v>
      </x:c>
      <x:c r="F10" s="8" t="n">
        <x:v>328</x:v>
      </x:c>
      <x:c r="G10" s="14" t="n">
        <x:f>F10/D10</x:f>
        <x:v>0.13114754098360656</x:v>
      </x:c>
      <x:c r="H10" s="14" t="n">
        <x:f>IF(E10=0,0,F10/E10)</x:f>
        <x:v>0.1312</x:v>
      </x:c>
    </x:row>
    <x:row r="11" ht="44" customHeight="1">
      <x:c r="A11" s="8" t="str">
        <x:v>all_canonical</x:v>
      </x:c>
      <x:c r="B11" s="8" t="str">
        <x:v>model_issue</x:v>
      </x:c>
      <x:c r="C11" s="8" t="str">
        <x:v>corner_drift</x:v>
      </x:c>
      <x:c r="D11" s="8" t="n">
        <x:v>2501</x:v>
      </x:c>
      <x:c r="E11" s="8" t="n">
        <x:v>574</x:v>
      </x:c>
      <x:c r="F11" s="8" t="n">
        <x:v>112</x:v>
      </x:c>
      <x:c r="G11" s="14" t="n">
        <x:f>F11/D11</x:f>
        <x:v>0.044782087165133946</x:v>
      </x:c>
      <x:c r="H11" s="14" t="n">
        <x:f>IF(E11=0,0,F11/E11)</x:f>
        <x:v>0.1951219512195122</x:v>
      </x:c>
    </x:row>
    <x:row r="12" ht="44" customHeight="1">
      <x:c r="A12" s="8" t="str">
        <x:v>all_canonical</x:v>
      </x:c>
      <x:c r="B12" s="8" t="str">
        <x:v>model_issue</x:v>
      </x:c>
      <x:c r="C12" s="8" t="str">
        <x:v>over_parsing</x:v>
      </x:c>
      <x:c r="D12" s="8" t="n">
        <x:v>2501</x:v>
      </x:c>
      <x:c r="E12" s="8" t="n">
        <x:v>574</x:v>
      </x:c>
      <x:c r="F12" s="8" t="n">
        <x:v>85</x:v>
      </x:c>
      <x:c r="G12" s="14" t="n">
        <x:f>F12/D12</x:f>
        <x:v>0.03398640543782487</x:v>
      </x:c>
      <x:c r="H12" s="14" t="n">
        <x:f>IF(E12=0,0,F12/E12)</x:f>
        <x:v>0.1480836236933798</x:v>
      </x:c>
    </x:row>
    <x:row r="13" ht="44" customHeight="1">
      <x:c r="A13" s="8" t="str">
        <x:v>all_canonical</x:v>
      </x:c>
      <x:c r="B13" s="8" t="str">
        <x:v>model_issue</x:v>
      </x:c>
      <x:c r="C13" s="8" t="str">
        <x:v>overextend_adjacent</x:v>
      </x:c>
      <x:c r="D13" s="8" t="n">
        <x:v>2501</x:v>
      </x:c>
      <x:c r="E13" s="8" t="n">
        <x:v>574</x:v>
      </x:c>
      <x:c r="F13" s="8" t="n">
        <x:v>69</x:v>
      </x:c>
      <x:c r="G13" s="14" t="n">
        <x:f>F13/D13</x:f>
        <x:v>0.027588964414234307</x:v>
      </x:c>
      <x:c r="H13" s="14" t="n">
        <x:f>IF(E13=0,0,F13/E13)</x:f>
        <x:v>0.12020905923344948</x:v>
      </x:c>
    </x:row>
    <x:row r="14" ht="44" customHeight="1">
      <x:c r="A14" s="8" t="str">
        <x:v>all_canonical</x:v>
      </x:c>
      <x:c r="B14" s="8" t="str">
        <x:v>model_issue</x:v>
      </x:c>
      <x:c r="C14" s="8" t="str">
        <x:v>acceptable</x:v>
      </x:c>
      <x:c r="D14" s="8" t="n">
        <x:v>2501</x:v>
      </x:c>
      <x:c r="E14" s="8" t="n">
        <x:v>574</x:v>
      </x:c>
      <x:c r="F14" s="8" t="n">
        <x:v>276</x:v>
      </x:c>
      <x:c r="G14" s="14" t="n">
        <x:f>F14/D14</x:f>
        <x:v>0.11035585765693723</x:v>
      </x:c>
      <x:c r="H14" s="14" t="n">
        <x:f>IF(E14=0,0,F14/E14)</x:f>
        <x:v>0.4808362369337979</x:v>
      </x:c>
    </x:row>
    <x:row r="15" ht="44" customHeight="1">
      <x:c r="A15" s="8" t="str">
        <x:v>all_canonical</x:v>
      </x:c>
      <x:c r="B15" s="8" t="str">
        <x:v>model_issue</x:v>
      </x:c>
      <x:c r="C15" s="8" t="str">
        <x:v>corner_duplicate</x:v>
      </x:c>
      <x:c r="D15" s="8" t="n">
        <x:v>2501</x:v>
      </x:c>
      <x:c r="E15" s="8" t="n">
        <x:v>574</x:v>
      </x:c>
      <x:c r="F15" s="8" t="n">
        <x:v>125</x:v>
      </x:c>
      <x:c r="G15" s="14" t="n">
        <x:f>F15/D15</x:f>
        <x:v>0.04998000799680128</x:v>
      </x:c>
      <x:c r="H15" s="14" t="n">
        <x:f>IF(E15=0,0,F15/E15)</x:f>
        <x:v>0.21777003484320556</x:v>
      </x:c>
    </x:row>
    <x:row r="16" ht="44" customHeight="1">
      <x:c r="A16" s="8" t="str">
        <x:v>all_canonical</x:v>
      </x:c>
      <x:c r="B16" s="8" t="str">
        <x:v>model_issue</x:v>
      </x:c>
      <x:c r="C16" s="8" t="str">
        <x:v>topology_failure</x:v>
      </x:c>
      <x:c r="D16" s="8" t="n">
        <x:v>2501</x:v>
      </x:c>
      <x:c r="E16" s="8" t="n">
        <x:v>574</x:v>
      </x:c>
      <x:c r="F16" s="8" t="n">
        <x:v>5</x:v>
      </x:c>
      <x:c r="G16" s="14" t="n">
        <x:f>F16/D16</x:f>
        <x:v>0.001999200319872051</x:v>
      </x:c>
      <x:c r="H16" s="14" t="n">
        <x:f>IF(E16=0,0,F16/E16)</x:f>
        <x:v>0.008710801393728223</x:v>
      </x:c>
    </x:row>
    <x:row r="17" ht="44" customHeight="1">
      <x:c r="A17" s="8" t="str">
        <x:v>all_canonical</x:v>
      </x:c>
      <x:c r="B17" s="8" t="str">
        <x:v>model_issue</x:v>
      </x:c>
      <x:c r="C17" s="8" t="str">
        <x:v>underextend</x:v>
      </x:c>
      <x:c r="D17" s="8" t="n">
        <x:v>2501</x:v>
      </x:c>
      <x:c r="E17" s="8" t="n">
        <x:v>574</x:v>
      </x:c>
      <x:c r="F17" s="8" t="n">
        <x:v>19</x:v>
      </x:c>
      <x:c r="G17" s="14" t="n">
        <x:f>F17/D17</x:f>
        <x:v>0.0075969612155137945</x:v>
      </x:c>
      <x:c r="H17" s="14" t="n">
        <x:f>IF(E17=0,0,F17/E17)</x:f>
        <x:v>0.033101045296167246</x:v>
      </x:c>
    </x:row>
    <x:row r="18" ht="44" customHeight="1">
      <x:c r="A18" s="8" t="str">
        <x:v>all_canonical</x:v>
      </x:c>
      <x:c r="B18" s="8" t="str">
        <x:v>model_issue</x:v>
      </x:c>
      <x:c r="C18" s="8" t="str">
        <x:v>fail</x:v>
      </x:c>
      <x:c r="D18" s="8" t="n">
        <x:v>2501</x:v>
      </x:c>
      <x:c r="E18" s="8" t="n">
        <x:v>574</x:v>
      </x:c>
      <x:c r="F18" s="8" t="n">
        <x:v>5</x:v>
      </x:c>
      <x:c r="G18" s="14" t="n">
        <x:f>F18/D18</x:f>
        <x:v>0.001999200319872051</x:v>
      </x:c>
      <x:c r="H18" s="14" t="n">
        <x:f>IF(E18=0,0,F18/E18)</x:f>
        <x:v>0.008710801393728223</x:v>
      </x:c>
    </x:row>
    <x:row r="19" ht="44" customHeight="1">
      <x:c r="A19" s="8" t="str">
        <x:v>all_canonical</x:v>
      </x:c>
      <x:c r="B19" s="8" t="str">
        <x:v>scope</x:v>
      </x:c>
      <x:c r="C19" s="8" t="str">
        <x:v>normal</x:v>
      </x:c>
      <x:c r="D19" s="8" t="n">
        <x:v>2501</x:v>
      </x:c>
      <x:c r="E19" s="8" t="n">
        <x:v>2500</x:v>
      </x:c>
      <x:c r="F19" s="8" t="n">
        <x:v>1984</x:v>
      </x:c>
      <x:c r="G19" s="14" t="n">
        <x:f>F19/D19</x:f>
        <x:v>0.79328268692523</x:v>
      </x:c>
      <x:c r="H19" s="14" t="n">
        <x:f>IF(E19=0,0,F19/E19)</x:f>
        <x:v>0.7936</x:v>
      </x:c>
    </x:row>
    <x:row r="20" ht="44" customHeight="1">
      <x:c r="A20" s="8" t="str">
        <x:v>all_canonical</x:v>
      </x:c>
      <x:c r="B20" s="8" t="str">
        <x:v>scope</x:v>
      </x:c>
      <x:c r="C20" s="8" t="str">
        <x:v>oos_open_boundary</x:v>
      </x:c>
      <x:c r="D20" s="8" t="n">
        <x:v>2501</x:v>
      </x:c>
      <x:c r="E20" s="8" t="n">
        <x:v>2500</x:v>
      </x:c>
      <x:c r="F20" s="8" t="n">
        <x:v>279</x:v>
      </x:c>
      <x:c r="G20" s="14" t="n">
        <x:f>F20/D20</x:f>
        <x:v>0.11155537784886045</x:v>
      </x:c>
      <x:c r="H20" s="14" t="n">
        <x:f>IF(E20=0,0,F20/E20)</x:f>
        <x:v>0.1116</x:v>
      </x:c>
    </x:row>
    <x:row r="21" ht="44" customHeight="1">
      <x:c r="A21" s="8" t="str">
        <x:v>all_canonical</x:v>
      </x:c>
      <x:c r="B21" s="8" t="str">
        <x:v>scope</x:v>
      </x:c>
      <x:c r="C21" s="8" t="str">
        <x:v>oos_split_level</x:v>
      </x:c>
      <x:c r="D21" s="8" t="n">
        <x:v>2501</x:v>
      </x:c>
      <x:c r="E21" s="8" t="n">
        <x:v>2500</x:v>
      </x:c>
      <x:c r="F21" s="8" t="n">
        <x:v>91</x:v>
      </x:c>
      <x:c r="G21" s="14" t="n">
        <x:f>F21/D21</x:f>
        <x:v>0.03638544582167133</x:v>
      </x:c>
      <x:c r="H21" s="14" t="n">
        <x:f>IF(E21=0,0,F21/E21)</x:f>
        <x:v>0.0364</x:v>
      </x:c>
    </x:row>
    <x:row r="22" ht="44" customHeight="1">
      <x:c r="A22" s="8" t="str">
        <x:v>all_canonical</x:v>
      </x:c>
      <x:c r="B22" s="8" t="str">
        <x:v>scope</x:v>
      </x:c>
      <x:c r="C22" s="8" t="str">
        <x:v>oos_geometry</x:v>
      </x:c>
      <x:c r="D22" s="8" t="n">
        <x:v>2501</x:v>
      </x:c>
      <x:c r="E22" s="8" t="n">
        <x:v>2500</x:v>
      </x:c>
      <x:c r="F22" s="8" t="n">
        <x:v>116</x:v>
      </x:c>
      <x:c r="G22" s="14" t="n">
        <x:f>F22/D22</x:f>
        <x:v>0.04638144742103159</x:v>
      </x:c>
      <x:c r="H22" s="14" t="n">
        <x:f>IF(E22=0,0,F22/E22)</x:f>
        <x:v>0.0464</x:v>
      </x:c>
    </x:row>
    <x:row r="23" ht="44" customHeight="1">
      <x:c r="A23" s="8" t="str">
        <x:v>all_canonical</x:v>
      </x:c>
      <x:c r="B23" s="8" t="str">
        <x:v>scope</x:v>
      </x:c>
      <x:c r="C23" s="8" t="str">
        <x:v>oos_insufficient</x:v>
      </x:c>
      <x:c r="D23" s="8" t="n">
        <x:v>2501</x:v>
      </x:c>
      <x:c r="E23" s="8" t="n">
        <x:v>2500</x:v>
      </x:c>
      <x:c r="F23" s="8" t="n">
        <x:v>30</x:v>
      </x:c>
      <x:c r="G23" s="14" t="n">
        <x:f>F23/D23</x:f>
        <x:v>0.011995201919232307</x:v>
      </x:c>
      <x:c r="H23" s="14" t="n">
        <x:f>IF(E23=0,0,F23/E23)</x:f>
        <x:v>0.012</x:v>
      </x:c>
    </x:row>
    <x:row r="24" ht="44" customHeight="1">
      <x:c r="A24" s="8" t="str">
        <x:v>usable_manual_all_workers</x:v>
      </x:c>
      <x:c r="B24" s="8" t="str">
        <x:v>difficulty</x:v>
      </x:c>
      <x:c r="C24" s="8" t="str">
        <x:v>trivial</x:v>
      </x:c>
      <x:c r="D24" s="8" t="n">
        <x:v>1887</x:v>
      </x:c>
      <x:c r="E24" s="8" t="n">
        <x:v>1887</x:v>
      </x:c>
      <x:c r="F24" s="8" t="n">
        <x:v>586</x:v>
      </x:c>
      <x:c r="G24" s="14" t="n">
        <x:f>F24/D24</x:f>
        <x:v>0.31054583995760465</x:v>
      </x:c>
      <x:c r="H24" s="14" t="n">
        <x:f>IF(E24=0,0,F24/E24)</x:f>
        <x:v>0.31054583995760465</x:v>
      </x:c>
    </x:row>
    <x:row r="25" ht="44" customHeight="1">
      <x:c r="A25" s="8" t="str">
        <x:v>usable_manual_all_workers</x:v>
      </x:c>
      <x:c r="B25" s="8" t="str">
        <x:v>difficulty</x:v>
      </x:c>
      <x:c r="C25" s="8" t="str">
        <x:v>low_texture</x:v>
      </x:c>
      <x:c r="D25" s="8" t="n">
        <x:v>1887</x:v>
      </x:c>
      <x:c r="E25" s="8" t="n">
        <x:v>1887</x:v>
      </x:c>
      <x:c r="F25" s="8" t="n">
        <x:v>171</x:v>
      </x:c>
      <x:c r="G25" s="14" t="n">
        <x:f>F25/D25</x:f>
        <x:v>0.09062003179650238</x:v>
      </x:c>
      <x:c r="H25" s="14" t="n">
        <x:f>IF(E25=0,0,F25/E25)</x:f>
        <x:v>0.09062003179650238</x:v>
      </x:c>
    </x:row>
    <x:row r="26" ht="44" customHeight="1">
      <x:c r="A26" s="8" t="str">
        <x:v>usable_manual_all_workers</x:v>
      </x:c>
      <x:c r="B26" s="8" t="str">
        <x:v>difficulty</x:v>
      </x:c>
      <x:c r="C26" s="8" t="str">
        <x:v>occlusion</x:v>
      </x:c>
      <x:c r="D26" s="8" t="n">
        <x:v>1887</x:v>
      </x:c>
      <x:c r="E26" s="8" t="n">
        <x:v>1887</x:v>
      </x:c>
      <x:c r="F26" s="8" t="n">
        <x:v>1067</x:v>
      </x:c>
      <x:c r="G26" s="14" t="n">
        <x:f>F26/D26</x:f>
        <x:v>0.5654478007419184</x:v>
      </x:c>
      <x:c r="H26" s="14" t="n">
        <x:f>IF(E26=0,0,F26/E26)</x:f>
        <x:v>0.5654478007419184</x:v>
      </x:c>
    </x:row>
    <x:row r="27" ht="44" customHeight="1">
      <x:c r="A27" s="8" t="str">
        <x:v>usable_manual_all_workers</x:v>
      </x:c>
      <x:c r="B27" s="8" t="str">
        <x:v>difficulty</x:v>
      </x:c>
      <x:c r="C27" s="8" t="str">
        <x:v>seam</x:v>
      </x:c>
      <x:c r="D27" s="8" t="n">
        <x:v>1887</x:v>
      </x:c>
      <x:c r="E27" s="8" t="n">
        <x:v>1887</x:v>
      </x:c>
      <x:c r="F27" s="8" t="n">
        <x:v>217</x:v>
      </x:c>
      <x:c r="G27" s="14" t="n">
        <x:f>F27/D27</x:f>
        <x:v>0.11499735029146795</x:v>
      </x:c>
      <x:c r="H27" s="14" t="n">
        <x:f>IF(E27=0,0,F27/E27)</x:f>
        <x:v>0.11499735029146795</x:v>
      </x:c>
    </x:row>
    <x:row r="28" ht="44" customHeight="1">
      <x:c r="A28" s="8" t="str">
        <x:v>usable_manual_all_workers</x:v>
      </x:c>
      <x:c r="B28" s="8" t="str">
        <x:v>difficulty</x:v>
      </x:c>
      <x:c r="C28" s="8" t="str">
        <x:v>low_quality</x:v>
      </x:c>
      <x:c r="D28" s="8" t="n">
        <x:v>1887</x:v>
      </x:c>
      <x:c r="E28" s="8" t="n">
        <x:v>1887</x:v>
      </x:c>
      <x:c r="F28" s="8" t="n">
        <x:v>106</x:v>
      </x:c>
      <x:c r="G28" s="14" t="n">
        <x:f>F28/D28</x:f>
        <x:v>0.05617382087970323</x:v>
      </x:c>
      <x:c r="H28" s="14" t="n">
        <x:f>IF(E28=0,0,F28/E28)</x:f>
        <x:v>0.05617382087970323</x:v>
      </x:c>
    </x:row>
    <x:row r="29" ht="44" customHeight="1">
      <x:c r="A29" s="8" t="str">
        <x:v>usable_manual_all_workers</x:v>
      </x:c>
      <x:c r="B29" s="8" t="str">
        <x:v>difficulty</x:v>
      </x:c>
      <x:c r="C29" s="8" t="str">
        <x:v>reflection</x:v>
      </x:c>
      <x:c r="D29" s="8" t="n">
        <x:v>1887</x:v>
      </x:c>
      <x:c r="E29" s="8" t="n">
        <x:v>1887</x:v>
      </x:c>
      <x:c r="F29" s="8" t="n">
        <x:v>273</x:v>
      </x:c>
      <x:c r="G29" s="14" t="n">
        <x:f>F29/D29</x:f>
        <x:v>0.14467408585055644</x:v>
      </x:c>
      <x:c r="H29" s="14" t="n">
        <x:f>IF(E29=0,0,F29/E29)</x:f>
        <x:v>0.14467408585055644</x:v>
      </x:c>
    </x:row>
    <x:row r="30" ht="44" customHeight="1">
      <x:c r="A30" s="8" t="str">
        <x:v>usable_manual_all_workers</x:v>
      </x:c>
      <x:c r="B30" s="8" t="str">
        <x:v>scope</x:v>
      </x:c>
      <x:c r="C30" s="8" t="str">
        <x:v>normal</x:v>
      </x:c>
      <x:c r="D30" s="8" t="n">
        <x:v>1887</x:v>
      </x:c>
      <x:c r="E30" s="8" t="n">
        <x:v>1887</x:v>
      </x:c>
      <x:c r="F30" s="8" t="n">
        <x:v>1447</x:v>
      </x:c>
      <x:c r="G30" s="14" t="n">
        <x:f>F30/D30</x:f>
        <x:v>0.7668256491785903</x:v>
      </x:c>
      <x:c r="H30" s="14" t="n">
        <x:f>IF(E30=0,0,F30/E30)</x:f>
        <x:v>0.7668256491785903</x:v>
      </x:c>
    </x:row>
    <x:row r="31" ht="44" customHeight="1">
      <x:c r="A31" s="8" t="str">
        <x:v>usable_manual_all_workers</x:v>
      </x:c>
      <x:c r="B31" s="8" t="str">
        <x:v>scope</x:v>
      </x:c>
      <x:c r="C31" s="8" t="str">
        <x:v>oos_split_level</x:v>
      </x:c>
      <x:c r="D31" s="8" t="n">
        <x:v>1887</x:v>
      </x:c>
      <x:c r="E31" s="8" t="n">
        <x:v>1887</x:v>
      </x:c>
      <x:c r="F31" s="8" t="n">
        <x:v>84</x:v>
      </x:c>
      <x:c r="G31" s="14" t="n">
        <x:f>F31/D31</x:f>
        <x:v>0.04451510333863275</x:v>
      </x:c>
      <x:c r="H31" s="14" t="n">
        <x:f>IF(E31=0,0,F31/E31)</x:f>
        <x:v>0.04451510333863275</x:v>
      </x:c>
    </x:row>
    <x:row r="32" ht="44" customHeight="1">
      <x:c r="A32" s="8" t="str">
        <x:v>usable_manual_all_workers</x:v>
      </x:c>
      <x:c r="B32" s="8" t="str">
        <x:v>scope</x:v>
      </x:c>
      <x:c r="C32" s="8" t="str">
        <x:v>oos_geometry</x:v>
      </x:c>
      <x:c r="D32" s="8" t="n">
        <x:v>1887</x:v>
      </x:c>
      <x:c r="E32" s="8" t="n">
        <x:v>1887</x:v>
      </x:c>
      <x:c r="F32" s="8" t="n">
        <x:v>95</x:v>
      </x:c>
      <x:c r="G32" s="14" t="n">
        <x:f>F32/D32</x:f>
        <x:v>0.050344462109167994</x:v>
      </x:c>
      <x:c r="H32" s="14" t="n">
        <x:f>IF(E32=0,0,F32/E32)</x:f>
        <x:v>0.050344462109167994</x:v>
      </x:c>
    </x:row>
    <x:row r="33" ht="44" customHeight="1">
      <x:c r="A33" s="8" t="str">
        <x:v>usable_manual_all_workers</x:v>
      </x:c>
      <x:c r="B33" s="8" t="str">
        <x:v>scope</x:v>
      </x:c>
      <x:c r="C33" s="8" t="str">
        <x:v>oos_open_boundary</x:v>
      </x:c>
      <x:c r="D33" s="8" t="n">
        <x:v>1887</x:v>
      </x:c>
      <x:c r="E33" s="8" t="n">
        <x:v>1887</x:v>
      </x:c>
      <x:c r="F33" s="8" t="n">
        <x:v>235</x:v>
      </x:c>
      <x:c r="G33" s="14" t="n">
        <x:f>F33/D33</x:f>
        <x:v>0.12453630100688924</x:v>
      </x:c>
      <x:c r="H33" s="14" t="n">
        <x:f>IF(E33=0,0,F33/E33)</x:f>
        <x:v>0.12453630100688924</x:v>
      </x:c>
    </x:row>
    <x:row r="34" ht="44" customHeight="1">
      <x:c r="A34" s="8" t="str">
        <x:v>usable_manual_all_workers</x:v>
      </x:c>
      <x:c r="B34" s="8" t="str">
        <x:v>scope</x:v>
      </x:c>
      <x:c r="C34" s="8" t="str">
        <x:v>oos_insufficient</x:v>
      </x:c>
      <x:c r="D34" s="8" t="n">
        <x:v>1887</x:v>
      </x:c>
      <x:c r="E34" s="8" t="n">
        <x:v>1887</x:v>
      </x:c>
      <x:c r="F34" s="8" t="n">
        <x:v>26</x:v>
      </x:c>
      <x:c r="G34" s="14" t="n">
        <x:f>F34/D34</x:f>
        <x:v>0.01377848436671966</x:v>
      </x:c>
      <x:c r="H34" s="14" t="n">
        <x:f>IF(E34=0,0,F34/E34)</x:f>
        <x:v>0.01377848436671966</x:v>
      </x:c>
    </x:row>
    <x:row r="35" ht="44" customHeight="1">
      <x:c r="A35" s="8" t="str">
        <x:v>usable_manual_active19</x:v>
      </x:c>
      <x:c r="B35" s="8" t="str">
        <x:v>difficulty</x:v>
      </x:c>
      <x:c r="C35" s="8" t="str">
        <x:v>trivial</x:v>
      </x:c>
      <x:c r="D35" s="8" t="n">
        <x:v>1524</x:v>
      </x:c>
      <x:c r="E35" s="8" t="n">
        <x:v>1524</x:v>
      </x:c>
      <x:c r="F35" s="8" t="n">
        <x:v>488</x:v>
      </x:c>
      <x:c r="G35" s="14" t="n">
        <x:f>F35/D35</x:f>
        <x:v>0.32020997375328086</x:v>
      </x:c>
      <x:c r="H35" s="14" t="n">
        <x:f>IF(E35=0,0,F35/E35)</x:f>
        <x:v>0.32020997375328086</x:v>
      </x:c>
    </x:row>
    <x:row r="36" ht="44" customHeight="1">
      <x:c r="A36" s="8" t="str">
        <x:v>usable_manual_active19</x:v>
      </x:c>
      <x:c r="B36" s="8" t="str">
        <x:v>difficulty</x:v>
      </x:c>
      <x:c r="C36" s="8" t="str">
        <x:v>seam</x:v>
      </x:c>
      <x:c r="D36" s="8" t="n">
        <x:v>1524</x:v>
      </x:c>
      <x:c r="E36" s="8" t="n">
        <x:v>1524</x:v>
      </x:c>
      <x:c r="F36" s="8" t="n">
        <x:v>184</x:v>
      </x:c>
      <x:c r="G36" s="14" t="n">
        <x:f>F36/D36</x:f>
        <x:v>0.12073490813648294</x:v>
      </x:c>
      <x:c r="H36" s="14" t="n">
        <x:f>IF(E36=0,0,F36/E36)</x:f>
        <x:v>0.12073490813648294</x:v>
      </x:c>
    </x:row>
    <x:row r="37" ht="44" customHeight="1">
      <x:c r="A37" s="8" t="str">
        <x:v>usable_manual_active19</x:v>
      </x:c>
      <x:c r="B37" s="8" t="str">
        <x:v>difficulty</x:v>
      </x:c>
      <x:c r="C37" s="8" t="str">
        <x:v>low_texture</x:v>
      </x:c>
      <x:c r="D37" s="8" t="n">
        <x:v>1524</x:v>
      </x:c>
      <x:c r="E37" s="8" t="n">
        <x:v>1524</x:v>
      </x:c>
      <x:c r="F37" s="8" t="n">
        <x:v>127</x:v>
      </x:c>
      <x:c r="G37" s="14" t="n">
        <x:f>F37/D37</x:f>
        <x:v>0.08333333333333333</x:v>
      </x:c>
      <x:c r="H37" s="14" t="n">
        <x:f>IF(E37=0,0,F37/E37)</x:f>
        <x:v>0.08333333333333333</x:v>
      </x:c>
    </x:row>
    <x:row r="38" ht="44" customHeight="1">
      <x:c r="A38" s="8" t="str">
        <x:v>usable_manual_active19</x:v>
      </x:c>
      <x:c r="B38" s="8" t="str">
        <x:v>difficulty</x:v>
      </x:c>
      <x:c r="C38" s="8" t="str">
        <x:v>occlusion</x:v>
      </x:c>
      <x:c r="D38" s="8" t="n">
        <x:v>1524</x:v>
      </x:c>
      <x:c r="E38" s="8" t="n">
        <x:v>1524</x:v>
      </x:c>
      <x:c r="F38" s="8" t="n">
        <x:v>854</x:v>
      </x:c>
      <x:c r="G38" s="14" t="n">
        <x:f>F38/D38</x:f>
        <x:v>0.5603674540682415</x:v>
      </x:c>
      <x:c r="H38" s="14" t="n">
        <x:f>IF(E38=0,0,F38/E38)</x:f>
        <x:v>0.5603674540682415</x:v>
      </x:c>
    </x:row>
    <x:row r="39" ht="44" customHeight="1">
      <x:c r="A39" s="8" t="str">
        <x:v>usable_manual_active19</x:v>
      </x:c>
      <x:c r="B39" s="8" t="str">
        <x:v>difficulty</x:v>
      </x:c>
      <x:c r="C39" s="8" t="str">
        <x:v>low_quality</x:v>
      </x:c>
      <x:c r="D39" s="8" t="n">
        <x:v>1524</x:v>
      </x:c>
      <x:c r="E39" s="8" t="n">
        <x:v>1524</x:v>
      </x:c>
      <x:c r="F39" s="8" t="n">
        <x:v>93</x:v>
      </x:c>
      <x:c r="G39" s="14" t="n">
        <x:f>F39/D39</x:f>
        <x:v>0.0610236220472441</x:v>
      </x:c>
      <x:c r="H39" s="14" t="n">
        <x:f>IF(E39=0,0,F39/E39)</x:f>
        <x:v>0.0610236220472441</x:v>
      </x:c>
    </x:row>
    <x:row r="40" ht="44" customHeight="1">
      <x:c r="A40" s="8" t="str">
        <x:v>usable_manual_active19</x:v>
      </x:c>
      <x:c r="B40" s="8" t="str">
        <x:v>difficulty</x:v>
      </x:c>
      <x:c r="C40" s="8" t="str">
        <x:v>reflection</x:v>
      </x:c>
      <x:c r="D40" s="8" t="n">
        <x:v>1524</x:v>
      </x:c>
      <x:c r="E40" s="8" t="n">
        <x:v>1524</x:v>
      </x:c>
      <x:c r="F40" s="8" t="n">
        <x:v>201</x:v>
      </x:c>
      <x:c r="G40" s="14" t="n">
        <x:f>F40/D40</x:f>
        <x:v>0.13188976377952755</x:v>
      </x:c>
      <x:c r="H40" s="14" t="n">
        <x:f>IF(E40=0,0,F40/E40)</x:f>
        <x:v>0.13188976377952755</x:v>
      </x:c>
    </x:row>
    <x:row r="41" ht="44" customHeight="1">
      <x:c r="A41" s="8" t="str">
        <x:v>usable_manual_active19</x:v>
      </x:c>
      <x:c r="B41" s="8" t="str">
        <x:v>scope</x:v>
      </x:c>
      <x:c r="C41" s="8" t="str">
        <x:v>normal</x:v>
      </x:c>
      <x:c r="D41" s="8" t="n">
        <x:v>1524</x:v>
      </x:c>
      <x:c r="E41" s="8" t="n">
        <x:v>1524</x:v>
      </x:c>
      <x:c r="F41" s="8" t="n">
        <x:v>1164</x:v>
      </x:c>
      <x:c r="G41" s="14" t="n">
        <x:f>F41/D41</x:f>
        <x:v>0.7637795275590551</x:v>
      </x:c>
      <x:c r="H41" s="14" t="n">
        <x:f>IF(E41=0,0,F41/E41)</x:f>
        <x:v>0.7637795275590551</x:v>
      </x:c>
    </x:row>
    <x:row r="42" ht="44" customHeight="1">
      <x:c r="A42" s="8" t="str">
        <x:v>usable_manual_active19</x:v>
      </x:c>
      <x:c r="B42" s="8" t="str">
        <x:v>scope</x:v>
      </x:c>
      <x:c r="C42" s="8" t="str">
        <x:v>oos_split_level</x:v>
      </x:c>
      <x:c r="D42" s="8" t="n">
        <x:v>1524</x:v>
      </x:c>
      <x:c r="E42" s="8" t="n">
        <x:v>1524</x:v>
      </x:c>
      <x:c r="F42" s="8" t="n">
        <x:v>50</x:v>
      </x:c>
      <x:c r="G42" s="14" t="n">
        <x:f>F42/D42</x:f>
        <x:v>0.03280839895013123</x:v>
      </x:c>
      <x:c r="H42" s="14" t="n">
        <x:f>IF(E42=0,0,F42/E42)</x:f>
        <x:v>0.03280839895013123</x:v>
      </x:c>
    </x:row>
    <x:row r="43" ht="44" customHeight="1">
      <x:c r="A43" s="8" t="str">
        <x:v>usable_manual_active19</x:v>
      </x:c>
      <x:c r="B43" s="8" t="str">
        <x:v>scope</x:v>
      </x:c>
      <x:c r="C43" s="8" t="str">
        <x:v>oos_geometry</x:v>
      </x:c>
      <x:c r="D43" s="8" t="n">
        <x:v>1524</x:v>
      </x:c>
      <x:c r="E43" s="8" t="n">
        <x:v>1524</x:v>
      </x:c>
      <x:c r="F43" s="8" t="n">
        <x:v>84</x:v>
      </x:c>
      <x:c r="G43" s="14" t="n">
        <x:f>F43/D43</x:f>
        <x:v>0.05511811023622047</x:v>
      </x:c>
      <x:c r="H43" s="14" t="n">
        <x:f>IF(E43=0,0,F43/E43)</x:f>
        <x:v>0.05511811023622047</x:v>
      </x:c>
    </x:row>
    <x:row r="44" ht="44" customHeight="1">
      <x:c r="A44" s="8" t="str">
        <x:v>usable_manual_active19</x:v>
      </x:c>
      <x:c r="B44" s="8" t="str">
        <x:v>scope</x:v>
      </x:c>
      <x:c r="C44" s="8" t="str">
        <x:v>oos_open_boundary</x:v>
      </x:c>
      <x:c r="D44" s="8" t="n">
        <x:v>1524</x:v>
      </x:c>
      <x:c r="E44" s="8" t="n">
        <x:v>1524</x:v>
      </x:c>
      <x:c r="F44" s="8" t="n">
        <x:v>202</x:v>
      </x:c>
      <x:c r="G44" s="14" t="n">
        <x:f>F44/D44</x:f>
        <x:v>0.1325459317585302</x:v>
      </x:c>
      <x:c r="H44" s="14" t="n">
        <x:f>IF(E44=0,0,F44/E44)</x:f>
        <x:v>0.1325459317585302</x:v>
      </x:c>
    </x:row>
    <x:row r="45" ht="44" customHeight="1">
      <x:c r="A45" s="8" t="str">
        <x:v>usable_manual_active19</x:v>
      </x:c>
      <x:c r="B45" s="8" t="str">
        <x:v>scope</x:v>
      </x:c>
      <x:c r="C45" s="8" t="str">
        <x:v>oos_insufficient</x:v>
      </x:c>
      <x:c r="D45" s="8" t="n">
        <x:v>1524</x:v>
      </x:c>
      <x:c r="E45" s="8" t="n">
        <x:v>1524</x:v>
      </x:c>
      <x:c r="F45" s="8" t="n">
        <x:v>24</x:v>
      </x:c>
      <x:c r="G45" s="14" t="n">
        <x:f>F45/D45</x:f>
        <x:v>0.015748031496062992</x:v>
      </x:c>
      <x:c r="H45" s="14" t="n">
        <x:f>IF(E45=0,0,F45/E45)</x:f>
        <x:v>0.015748031496062992</x:v>
      </x:c>
    </x:row>
    <x:row r="46" ht="44" customHeight="1">
      <x:c r="A46" s="8" t="str">
        <x:v>all_semi</x:v>
      </x:c>
      <x:c r="B46" s="8" t="str">
        <x:v>difficulty</x:v>
      </x:c>
      <x:c r="C46" s="8" t="str">
        <x:v>trivial</x:v>
      </x:c>
      <x:c r="D46" s="8" t="n">
        <x:v>574</x:v>
      </x:c>
      <x:c r="E46" s="8" t="n">
        <x:v>574</x:v>
      </x:c>
      <x:c r="F46" s="8" t="n">
        <x:v>293</x:v>
      </x:c>
      <x:c r="G46" s="14" t="n">
        <x:f>F46/D46</x:f>
        <x:v>0.5104529616724739</x:v>
      </x:c>
      <x:c r="H46" s="14" t="n">
        <x:f>IF(E46=0,0,F46/E46)</x:f>
        <x:v>0.5104529616724739</x:v>
      </x:c>
    </x:row>
    <x:row r="47" ht="44" customHeight="1">
      <x:c r="A47" s="8" t="str">
        <x:v>all_semi</x:v>
      </x:c>
      <x:c r="B47" s="8" t="str">
        <x:v>difficulty</x:v>
      </x:c>
      <x:c r="C47" s="8" t="str">
        <x:v>seam</x:v>
      </x:c>
      <x:c r="D47" s="8" t="n">
        <x:v>574</x:v>
      </x:c>
      <x:c r="E47" s="8" t="n">
        <x:v>574</x:v>
      </x:c>
      <x:c r="F47" s="8" t="n">
        <x:v>37</x:v>
      </x:c>
      <x:c r="G47" s="14" t="n">
        <x:f>F47/D47</x:f>
        <x:v>0.06445993031358885</x:v>
      </x:c>
      <x:c r="H47" s="14" t="n">
        <x:f>IF(E47=0,0,F47/E47)</x:f>
        <x:v>0.06445993031358885</x:v>
      </x:c>
    </x:row>
    <x:row r="48" ht="44" customHeight="1">
      <x:c r="A48" s="8" t="str">
        <x:v>all_semi</x:v>
      </x:c>
      <x:c r="B48" s="8" t="str">
        <x:v>difficulty</x:v>
      </x:c>
      <x:c r="C48" s="8" t="str">
        <x:v>low_texture</x:v>
      </x:c>
      <x:c r="D48" s="8" t="n">
        <x:v>574</x:v>
      </x:c>
      <x:c r="E48" s="8" t="n">
        <x:v>574</x:v>
      </x:c>
      <x:c r="F48" s="8" t="n">
        <x:v>44</x:v>
      </x:c>
      <x:c r="G48" s="14" t="n">
        <x:f>F48/D48</x:f>
        <x:v>0.07665505226480836</x:v>
      </x:c>
      <x:c r="H48" s="14" t="n">
        <x:f>IF(E48=0,0,F48/E48)</x:f>
        <x:v>0.07665505226480836</x:v>
      </x:c>
    </x:row>
    <x:row r="49" ht="44" customHeight="1">
      <x:c r="A49" s="8" t="str">
        <x:v>all_semi</x:v>
      </x:c>
      <x:c r="B49" s="8" t="str">
        <x:v>difficulty</x:v>
      </x:c>
      <x:c r="C49" s="8" t="str">
        <x:v>occlusion</x:v>
      </x:c>
      <x:c r="D49" s="8" t="n">
        <x:v>574</x:v>
      </x:c>
      <x:c r="E49" s="8" t="n">
        <x:v>574</x:v>
      </x:c>
      <x:c r="F49" s="8" t="n">
        <x:v>224</x:v>
      </x:c>
      <x:c r="G49" s="14" t="n">
        <x:f>F49/D49</x:f>
        <x:v>0.3902439024390244</x:v>
      </x:c>
      <x:c r="H49" s="14" t="n">
        <x:f>IF(E49=0,0,F49/E49)</x:f>
        <x:v>0.3902439024390244</x:v>
      </x:c>
    </x:row>
    <x:row r="50" ht="44" customHeight="1">
      <x:c r="A50" s="8" t="str">
        <x:v>all_semi</x:v>
      </x:c>
      <x:c r="B50" s="8" t="str">
        <x:v>difficulty</x:v>
      </x:c>
      <x:c r="C50" s="8" t="str">
        <x:v>low_quality</x:v>
      </x:c>
      <x:c r="D50" s="8" t="n">
        <x:v>574</x:v>
      </x:c>
      <x:c r="E50" s="8" t="n">
        <x:v>574</x:v>
      </x:c>
      <x:c r="F50" s="8" t="n">
        <x:v>15</x:v>
      </x:c>
      <x:c r="G50" s="14" t="n">
        <x:f>F50/D50</x:f>
        <x:v>0.02613240418118467</x:v>
      </x:c>
      <x:c r="H50" s="14" t="n">
        <x:f>IF(E50=0,0,F50/E50)</x:f>
        <x:v>0.02613240418118467</x:v>
      </x:c>
    </x:row>
    <x:row r="51" ht="44" customHeight="1">
      <x:c r="A51" s="8" t="str">
        <x:v>all_semi</x:v>
      </x:c>
      <x:c r="B51" s="8" t="str">
        <x:v>difficulty</x:v>
      </x:c>
      <x:c r="C51" s="8" t="str">
        <x:v>reflection</x:v>
      </x:c>
      <x:c r="D51" s="8" t="n">
        <x:v>574</x:v>
      </x:c>
      <x:c r="E51" s="8" t="n">
        <x:v>574</x:v>
      </x:c>
      <x:c r="F51" s="8" t="n">
        <x:v>46</x:v>
      </x:c>
      <x:c r="G51" s="14" t="n">
        <x:f>F51/D51</x:f>
        <x:v>0.08013937282229965</x:v>
      </x:c>
      <x:c r="H51" s="14" t="n">
        <x:f>IF(E51=0,0,F51/E51)</x:f>
        <x:v>0.08013937282229965</x:v>
      </x:c>
    </x:row>
    <x:row r="52" ht="44" customHeight="1">
      <x:c r="A52" s="8" t="str">
        <x:v>all_semi</x:v>
      </x:c>
      <x:c r="B52" s="8" t="str">
        <x:v>model_issue</x:v>
      </x:c>
      <x:c r="C52" s="8" t="str">
        <x:v>corner_drift</x:v>
      </x:c>
      <x:c r="D52" s="8" t="n">
        <x:v>574</x:v>
      </x:c>
      <x:c r="E52" s="8" t="n">
        <x:v>574</x:v>
      </x:c>
      <x:c r="F52" s="8" t="n">
        <x:v>112</x:v>
      </x:c>
      <x:c r="G52" s="14" t="n">
        <x:f>F52/D52</x:f>
        <x:v>0.1951219512195122</x:v>
      </x:c>
      <x:c r="H52" s="14" t="n">
        <x:f>IF(E52=0,0,F52/E52)</x:f>
        <x:v>0.1951219512195122</x:v>
      </x:c>
    </x:row>
    <x:row r="53" ht="44" customHeight="1">
      <x:c r="A53" s="8" t="str">
        <x:v>all_semi</x:v>
      </x:c>
      <x:c r="B53" s="8" t="str">
        <x:v>model_issue</x:v>
      </x:c>
      <x:c r="C53" s="8" t="str">
        <x:v>over_parsing</x:v>
      </x:c>
      <x:c r="D53" s="8" t="n">
        <x:v>574</x:v>
      </x:c>
      <x:c r="E53" s="8" t="n">
        <x:v>574</x:v>
      </x:c>
      <x:c r="F53" s="8" t="n">
        <x:v>85</x:v>
      </x:c>
      <x:c r="G53" s="14" t="n">
        <x:f>F53/D53</x:f>
        <x:v>0.1480836236933798</x:v>
      </x:c>
      <x:c r="H53" s="14" t="n">
        <x:f>IF(E53=0,0,F53/E53)</x:f>
        <x:v>0.1480836236933798</x:v>
      </x:c>
    </x:row>
    <x:row r="54" ht="44" customHeight="1">
      <x:c r="A54" s="8" t="str">
        <x:v>all_semi</x:v>
      </x:c>
      <x:c r="B54" s="8" t="str">
        <x:v>model_issue</x:v>
      </x:c>
      <x:c r="C54" s="8" t="str">
        <x:v>overextend_adjacent</x:v>
      </x:c>
      <x:c r="D54" s="8" t="n">
        <x:v>574</x:v>
      </x:c>
      <x:c r="E54" s="8" t="n">
        <x:v>574</x:v>
      </x:c>
      <x:c r="F54" s="8" t="n">
        <x:v>69</x:v>
      </x:c>
      <x:c r="G54" s="14" t="n">
        <x:f>F54/D54</x:f>
        <x:v>0.12020905923344948</x:v>
      </x:c>
      <x:c r="H54" s="14" t="n">
        <x:f>IF(E54=0,0,F54/E54)</x:f>
        <x:v>0.12020905923344948</x:v>
      </x:c>
    </x:row>
    <x:row r="55" ht="44" customHeight="1">
      <x:c r="A55" s="8" t="str">
        <x:v>all_semi</x:v>
      </x:c>
      <x:c r="B55" s="8" t="str">
        <x:v>model_issue</x:v>
      </x:c>
      <x:c r="C55" s="8" t="str">
        <x:v>acceptable</x:v>
      </x:c>
      <x:c r="D55" s="8" t="n">
        <x:v>574</x:v>
      </x:c>
      <x:c r="E55" s="8" t="n">
        <x:v>574</x:v>
      </x:c>
      <x:c r="F55" s="8" t="n">
        <x:v>276</x:v>
      </x:c>
      <x:c r="G55" s="14" t="n">
        <x:f>F55/D55</x:f>
        <x:v>0.4808362369337979</x:v>
      </x:c>
      <x:c r="H55" s="14" t="n">
        <x:f>IF(E55=0,0,F55/E55)</x:f>
        <x:v>0.4808362369337979</x:v>
      </x:c>
    </x:row>
    <x:row r="56" ht="44" customHeight="1">
      <x:c r="A56" s="8" t="str">
        <x:v>all_semi</x:v>
      </x:c>
      <x:c r="B56" s="8" t="str">
        <x:v>model_issue</x:v>
      </x:c>
      <x:c r="C56" s="8" t="str">
        <x:v>corner_duplicate</x:v>
      </x:c>
      <x:c r="D56" s="8" t="n">
        <x:v>574</x:v>
      </x:c>
      <x:c r="E56" s="8" t="n">
        <x:v>574</x:v>
      </x:c>
      <x:c r="F56" s="8" t="n">
        <x:v>125</x:v>
      </x:c>
      <x:c r="G56" s="14" t="n">
        <x:f>F56/D56</x:f>
        <x:v>0.21777003484320556</x:v>
      </x:c>
      <x:c r="H56" s="14" t="n">
        <x:f>IF(E56=0,0,F56/E56)</x:f>
        <x:v>0.21777003484320556</x:v>
      </x:c>
    </x:row>
    <x:row r="57" ht="44" customHeight="1">
      <x:c r="A57" s="8" t="str">
        <x:v>all_semi</x:v>
      </x:c>
      <x:c r="B57" s="8" t="str">
        <x:v>model_issue</x:v>
      </x:c>
      <x:c r="C57" s="8" t="str">
        <x:v>topology_failure</x:v>
      </x:c>
      <x:c r="D57" s="8" t="n">
        <x:v>574</x:v>
      </x:c>
      <x:c r="E57" s="8" t="n">
        <x:v>574</x:v>
      </x:c>
      <x:c r="F57" s="8" t="n">
        <x:v>5</x:v>
      </x:c>
      <x:c r="G57" s="14" t="n">
        <x:f>F57/D57</x:f>
        <x:v>0.008710801393728223</x:v>
      </x:c>
      <x:c r="H57" s="14" t="n">
        <x:f>IF(E57=0,0,F57/E57)</x:f>
        <x:v>0.008710801393728223</x:v>
      </x:c>
    </x:row>
    <x:row r="58" ht="44" customHeight="1">
      <x:c r="A58" s="8" t="str">
        <x:v>all_semi</x:v>
      </x:c>
      <x:c r="B58" s="8" t="str">
        <x:v>model_issue</x:v>
      </x:c>
      <x:c r="C58" s="8" t="str">
        <x:v>underextend</x:v>
      </x:c>
      <x:c r="D58" s="8" t="n">
        <x:v>574</x:v>
      </x:c>
      <x:c r="E58" s="8" t="n">
        <x:v>574</x:v>
      </x:c>
      <x:c r="F58" s="8" t="n">
        <x:v>19</x:v>
      </x:c>
      <x:c r="G58" s="14" t="n">
        <x:f>F58/D58</x:f>
        <x:v>0.033101045296167246</x:v>
      </x:c>
      <x:c r="H58" s="14" t="n">
        <x:f>IF(E58=0,0,F58/E58)</x:f>
        <x:v>0.033101045296167246</x:v>
      </x:c>
    </x:row>
    <x:row r="59" ht="44" customHeight="1">
      <x:c r="A59" s="8" t="str">
        <x:v>all_semi</x:v>
      </x:c>
      <x:c r="B59" s="8" t="str">
        <x:v>model_issue</x:v>
      </x:c>
      <x:c r="C59" s="8" t="str">
        <x:v>fail</x:v>
      </x:c>
      <x:c r="D59" s="8" t="n">
        <x:v>574</x:v>
      </x:c>
      <x:c r="E59" s="8" t="n">
        <x:v>574</x:v>
      </x:c>
      <x:c r="F59" s="8" t="n">
        <x:v>5</x:v>
      </x:c>
      <x:c r="G59" s="14" t="n">
        <x:f>F59/D59</x:f>
        <x:v>0.008710801393728223</x:v>
      </x:c>
      <x:c r="H59" s="14" t="n">
        <x:f>IF(E59=0,0,F59/E59)</x:f>
        <x:v>0.008710801393728223</x:v>
      </x:c>
    </x:row>
    <x:row r="60" ht="44" customHeight="1">
      <x:c r="A60" s="8" t="str">
        <x:v>all_semi</x:v>
      </x:c>
      <x:c r="B60" s="8" t="str">
        <x:v>scope</x:v>
      </x:c>
      <x:c r="C60" s="8" t="str">
        <x:v>normal</x:v>
      </x:c>
      <x:c r="D60" s="8" t="n">
        <x:v>574</x:v>
      </x:c>
      <x:c r="E60" s="8" t="n">
        <x:v>574</x:v>
      </x:c>
      <x:c r="F60" s="8" t="n">
        <x:v>510</x:v>
      </x:c>
      <x:c r="G60" s="14" t="n">
        <x:f>F60/D60</x:f>
        <x:v>0.8885017421602788</x:v>
      </x:c>
      <x:c r="H60" s="14" t="n">
        <x:f>IF(E60=0,0,F60/E60)</x:f>
        <x:v>0.8885017421602788</x:v>
      </x:c>
    </x:row>
    <x:row r="61" ht="44" customHeight="1">
      <x:c r="A61" s="8" t="str">
        <x:v>all_semi</x:v>
      </x:c>
      <x:c r="B61" s="8" t="str">
        <x:v>scope</x:v>
      </x:c>
      <x:c r="C61" s="8" t="str">
        <x:v>oos_open_boundary</x:v>
      </x:c>
      <x:c r="D61" s="8" t="n">
        <x:v>574</x:v>
      </x:c>
      <x:c r="E61" s="8" t="n">
        <x:v>574</x:v>
      </x:c>
      <x:c r="F61" s="8" t="n">
        <x:v>32</x:v>
      </x:c>
      <x:c r="G61" s="14" t="n">
        <x:f>F61/D61</x:f>
        <x:v>0.05574912891986063</x:v>
      </x:c>
      <x:c r="H61" s="14" t="n">
        <x:f>IF(E61=0,0,F61/E61)</x:f>
        <x:v>0.05574912891986063</x:v>
      </x:c>
    </x:row>
    <x:row r="62" ht="44" customHeight="1">
      <x:c r="A62" s="8" t="str">
        <x:v>all_semi</x:v>
      </x:c>
      <x:c r="B62" s="8" t="str">
        <x:v>scope</x:v>
      </x:c>
      <x:c r="C62" s="8" t="str">
        <x:v>oos_insufficient</x:v>
      </x:c>
      <x:c r="D62" s="8" t="n">
        <x:v>574</x:v>
      </x:c>
      <x:c r="E62" s="8" t="n">
        <x:v>574</x:v>
      </x:c>
      <x:c r="F62" s="8" t="n">
        <x:v>4</x:v>
      </x:c>
      <x:c r="G62" s="14" t="n">
        <x:f>F62/D62</x:f>
        <x:v>0.006968641114982578</x:v>
      </x:c>
      <x:c r="H62" s="14" t="n">
        <x:f>IF(E62=0,0,F62/E62)</x:f>
        <x:v>0.006968641114982578</x:v>
      </x:c>
    </x:row>
    <x:row r="63" ht="44" customHeight="1">
      <x:c r="A63" s="8" t="str">
        <x:v>all_semi</x:v>
      </x:c>
      <x:c r="B63" s="8" t="str">
        <x:v>scope</x:v>
      </x:c>
      <x:c r="C63" s="8" t="str">
        <x:v>oos_geometry</x:v>
      </x:c>
      <x:c r="D63" s="8" t="n">
        <x:v>574</x:v>
      </x:c>
      <x:c r="E63" s="8" t="n">
        <x:v>574</x:v>
      </x:c>
      <x:c r="F63" s="8" t="n">
        <x:v>21</x:v>
      </x:c>
      <x:c r="G63" s="14" t="n">
        <x:f>F63/D63</x:f>
        <x:v>0.036585365853658534</x:v>
      </x:c>
      <x:c r="H63" s="14" t="n">
        <x:f>IF(E63=0,0,F63/E63)</x:f>
        <x:v>0.036585365853658534</x:v>
      </x:c>
    </x:row>
    <x:row r="64" ht="44" customHeight="1">
      <x:c r="A64" s="8" t="str">
        <x:v>all_semi</x:v>
      </x:c>
      <x:c r="B64" s="8" t="str">
        <x:v>scope</x:v>
      </x:c>
      <x:c r="C64" s="8" t="str">
        <x:v>oos_split_level</x:v>
      </x:c>
      <x:c r="D64" s="8" t="n">
        <x:v>574</x:v>
      </x:c>
      <x:c r="E64" s="8" t="n">
        <x:v>574</x:v>
      </x:c>
      <x:c r="F64" s="8" t="n">
        <x:v>7</x:v>
      </x:c>
      <x:c r="G64" s="14" t="n">
        <x:f>F64/D64</x:f>
        <x:v>0.012195121951219513</x:v>
      </x:c>
      <x:c r="H64" s="14" t="n">
        <x:f>IF(E64=0,0,F64/E64)</x:f>
        <x:v>0.012195121951219513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29f8598996ff47c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4" hidden="0" customWidth="1"/>
    <x:col min="3" max="3" width="80" hidden="0" customWidth="1"/>
  </x:cols>
  <x:sheetData>
    <x:row r="1" ht="28" customHeight="1">
      <x:c r="A1" s="10" t="str">
        <x:v>来源、校验与解释边界</x:v>
      </x:c>
    </x:row>
    <x:row r="4" ht="34" customHeight="1">
      <x:c r="A4" s="4" t="str">
        <x:v>条目</x:v>
      </x:c>
      <x:c r="B4" s="4" t="str">
        <x:v>值</x:v>
      </x:c>
      <x:c r="C4" s="4" t="str">
        <x:v>依据/解释</x:v>
      </x:c>
    </x:row>
    <x:row r="5" ht="44" customHeight="1">
      <x:c r="A5" s="8" t="str">
        <x:v>当前仓库提交</x:v>
      </x:c>
      <x:c r="B5" s="8" t="str">
        <x:v>844a4694627e1eacc6bfb48911897335e48ecc17</x:v>
      </x:c>
      <x:c r="C5" s="8" t="str">
        <x:v>https://github.com/Sparkling-Flames/3D_Manhattan_label/commit/844a4694627e1eacc6bfb48911897335e48ecc17</x:v>
      </x:c>
    </x:row>
    <x:row r="6" ht="44" customHeight="1">
      <x:c r="A6" s="8" t="str">
        <x:v>v2关联表Git blob</x:v>
      </x:c>
      <x:c r="B6" s="8" t="str">
        <x:v>17cab9f8e0240a307e5903bd4fc6a5ed0af37b3f</x:v>
      </x:c>
      <x:c r="C6" s="8" t="str">
        <x:v>https://github.com/Sparkling-Flames/3D_Manhattan_label/blob/844a4694627e1eacc6bfb48911897335e48ecc17/analysis_results/scene_image_exploration_20260910_v1/same_room_selection_registry_v2_20260912.json</x:v>
      </x:c>
    </x:row>
    <x:row r="7" ht="44" customHeight="1">
      <x:c r="A7" s="8" t="str">
        <x:v>重建一致性</x:v>
      </x:c>
      <x:c r="B7" s="8" t="str">
        <x:v>True</x:v>
      </x:c>
      <x:c r="C7" s="8" t="str">
        <x:v>按照当前生成代码和原始来源重建；保留原Windows路径，字节SHA一致。</x:v>
      </x:c>
    </x:row>
    <x:row r="8" ht="44" customHeight="1">
      <x:c r="A8" s="8" t="str">
        <x:v>原始导出数</x:v>
      </x:c>
      <x:c r="B8" s="8" t="n">
        <x:v>18</x:v>
      </x:c>
      <x:c r="C8" s="8" t="str">
        <x:v>从逐份原始导出复核</x:v>
      </x:c>
    </x:row>
    <x:row r="9" ht="44" customHeight="1">
      <x:c r="A9" s="8" t="str">
        <x:v>原始标注版本数</x:v>
      </x:c>
      <x:c r="B9" s="8" t="n">
        <x:v>2513</x:v>
      </x:c>
      <x:c r="C9" s="8" t="str">
        <x:v>版本不等于独立人图</x:v>
      </x:c>
    </x:row>
    <x:row r="10" ht="44" customHeight="1">
      <x:c r="A10" s="8" t="str">
        <x:v>canonical身份与坐标检查</x:v>
      </x:c>
      <x:c r="B10" s="8" t="n">
        <x:v>2501</x:v>
      </x:c>
      <x:c r="C10" s="8" t="str">
        <x:v>2501份均通过</x:v>
      </x:c>
    </x:row>
    <x:row r="11" ht="44" customHeight="1">
      <x:c r="A11" s="8" t="str">
        <x:v>当前19人</x:v>
      </x:c>
      <x:c r="B11" s="8" t="str">
        <x:v>W1、W2、W6、W8、W10、W12、W13、W15、W17、W28—W37</x:v>
      </x:c>
      <x:c r="C11" s="8" t="str">
        <x:v>W11仅不参加未来，历史保留。</x:v>
      </x:c>
    </x:row>
    <x:row r="12" ht="44" customHeight="1">
      <x:c r="A12" s="8" t="str">
        <x:v>全历史计数</x:v>
      </x:c>
      <x:c r="B12" s="8" t="str">
        <x:v>Manual 1927人图；可用无辅助1887；Semi574；跨模式并集2499</x:v>
      </x:c>
      <x:c r="C12" s="8" t="str">
        <x:v>不同口径不相加混用。</x:v>
      </x:c>
    </x:row>
    <x:row r="13" ht="44" customHeight="1">
      <x:c r="A13" s="8" t="str">
        <x:v>候选性质</x:v>
      </x:c>
      <x:c r="B13" s="8" t="str">
        <x:v>22组、112图、13栋楼，含来源与特殊视点</x:v>
      </x:c>
      <x:c r="C13" s="8" t="str">
        <x:v>不是最终独立房间样本；全部待审。</x:v>
      </x:c>
    </x:row>
    <x:row r="14" ht="44" customHeight="1">
      <x:c r="A14" s="8" t="str">
        <x:v>视觉边界</x:v>
      </x:c>
      <x:c r="B14" s="8" t="str">
        <x:v>未重新逐像素裁定112张/648张原图</x:v>
      </x:c>
      <x:c r="C14" s="8" t="str">
        <x:v>选择理由来自既有描述和人工评论；图片由审查台在用户浏览器加载。</x:v>
      </x:c>
    </x:row>
    <x:row r="15" ht="44" customHeight="1">
      <x:c r="A15" s="8" t="str">
        <x:v>数据边界</x:v>
      </x:c>
      <x:c r="B15" s="8" t="str">
        <x:v>2501份canonical固定快照；非全仓库所有新提交普查</x:v>
      </x:c>
      <x:c r="C15" s="8" t="str">
        <x:v>在该18导出全部2513版本内未发现额外工人-图片接触对。</x:v>
      </x:c>
    </x:row>
    <x:row r="16" ht="44" customHeight="1">
      <x:c r="A16" s="8" t="str">
        <x:v>Difficulty</x:v>
      </x:c>
      <x:c r="B16" s="8" t="str">
        <x:v>非排序难度分数；是遮挡/反射/接缝等多选原因</x:v>
      </x:c>
      <x:c r="C16" s="8" t="str">
        <x:v>保留简短原因选择作诊断；不新增主要RQ，不预先承诺预测增益。</x:v>
      </x:c>
    </x:row>
    <x:row r="17" ht="44" customHeight="1">
      <x:c r="A17" s="8" t="str">
        <x:v>Model Issue</x:v>
      </x:c>
      <x:c r="B17" s="8" t="str">
        <x:v>Manual本来无该字段响应；Semi条件适用</x:v>
      </x:c>
      <x:c r="C17" s="8" t="str">
        <x:v>不适用不能编码成acceptable或零错误。</x:v>
      </x:c>
    </x:row>
    <x:row r="18" ht="44" customHeight="1">
      <x:c r="A18" s="8" t="str">
        <x:v>自愿追加</x:v>
      </x:c>
      <x:c r="B18" s="8" t="str">
        <x:v>先完成基础队列；单列offer/accept/batch/order</x:v>
      </x:c>
      <x:c r="C18" s="8" t="str">
        <x:v>不把英语、自愿、质量或认真程度视为等价。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18e2144c8e1844ec"/>
  </x:tableParts>
</x:worksheet>
</file>